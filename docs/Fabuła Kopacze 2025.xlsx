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Postacie!$B$2:$B$61</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Grupy!$B$2:$B$100</definedName>
    <definedName name="PochodzenieMyrtana">Data_Validation!$B$24:$B$32</definedName>
    <definedName name="KlasaNazwa">Data_Validation!$A$5</definedName>
    <definedName hidden="1" localSheetId="0" name="_xlnm._FilterDatabase">Postacie!$A$1:$L$61</definedName>
    <definedName hidden="1" localSheetId="1" name="_xlnm._FilterDatabase">Grupy!$A$1:$C$100</definedName>
    <definedName hidden="1" localSheetId="2" name="_xlnm._FilterDatabase">'Wątki'!$A$1:$K$210</definedName>
  </definedNames>
  <calcPr/>
</workbook>
</file>

<file path=xl/sharedStrings.xml><?xml version="1.0" encoding="utf-8"?>
<sst xmlns="http://schemas.openxmlformats.org/spreadsheetml/2006/main" count="11783" uniqueCount="701">
  <si>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</si>
  <si>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</si>
  <si>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</si>
  <si>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</si>
  <si>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</si>
  <si>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</si>
  <si>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</si>
  <si>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</si>
  <si>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</si>
  <si>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</si>
  <si>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</si>
  <si>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</si>
  <si>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Jurgen</t>
  </si>
  <si>
    <t>TAK</t>
  </si>
  <si>
    <t>Khorinis</t>
  </si>
  <si>
    <t>Miasto Khorinis</t>
  </si>
  <si>
    <t>Chudy</t>
  </si>
  <si>
    <t>Myrtana</t>
  </si>
  <si>
    <t>Silden</t>
  </si>
  <si>
    <t>Erart</t>
  </si>
  <si>
    <t>Maruda</t>
  </si>
  <si>
    <t>Leonardo</t>
  </si>
  <si>
    <t>Archolos</t>
  </si>
  <si>
    <t>Winnica Valerio</t>
  </si>
  <si>
    <t>Ravill</t>
  </si>
  <si>
    <t>Lotka</t>
  </si>
  <si>
    <t>Sójka</t>
  </si>
  <si>
    <t>Zguba</t>
  </si>
  <si>
    <t>Cykuta</t>
  </si>
  <si>
    <t>Geldern</t>
  </si>
  <si>
    <t>Marta</t>
  </si>
  <si>
    <t>Montera</t>
  </si>
  <si>
    <t>Melgen</t>
  </si>
  <si>
    <t>Hugon zwany Jeżem</t>
  </si>
  <si>
    <t>Cespenar</t>
  </si>
  <si>
    <t>Olga</t>
  </si>
  <si>
    <t>Winnica Rity</t>
  </si>
  <si>
    <t>Skośny</t>
  </si>
  <si>
    <t>Kati</t>
  </si>
  <si>
    <t>Mario Majestro</t>
  </si>
  <si>
    <t>Neralis</t>
  </si>
  <si>
    <t>NIE</t>
  </si>
  <si>
    <t>Oriana „Hiena”</t>
  </si>
  <si>
    <t>Zek</t>
  </si>
  <si>
    <t>Miasto Archolos</t>
  </si>
  <si>
    <t>Dodo</t>
  </si>
  <si>
    <t>Rez</t>
  </si>
  <si>
    <t>Silbach</t>
  </si>
  <si>
    <t>Łajza</t>
  </si>
  <si>
    <t>Nordmar</t>
  </si>
  <si>
    <t>Klan Wilka</t>
  </si>
  <si>
    <t>Szikra</t>
  </si>
  <si>
    <t>Hiram</t>
  </si>
  <si>
    <t>Varant</t>
  </si>
  <si>
    <t>Ishtar</t>
  </si>
  <si>
    <t>Yarem</t>
  </si>
  <si>
    <t>Wyspy Południowe</t>
  </si>
  <si>
    <t>Ligon</t>
  </si>
  <si>
    <t>Farmy</t>
  </si>
  <si>
    <t>Kulcs</t>
  </si>
  <si>
    <t>Kafar</t>
  </si>
  <si>
    <t>Grzebor</t>
  </si>
  <si>
    <t>Sarniak</t>
  </si>
  <si>
    <t>Smalec Faja</t>
  </si>
  <si>
    <t>Agrest</t>
  </si>
  <si>
    <t>Faring</t>
  </si>
  <si>
    <t>Pocak</t>
  </si>
  <si>
    <t>Karax</t>
  </si>
  <si>
    <t>Kimbo</t>
  </si>
  <si>
    <t>Barett</t>
  </si>
  <si>
    <t>Skaza</t>
  </si>
  <si>
    <t>Fenek</t>
  </si>
  <si>
    <t>Rudzik</t>
  </si>
  <si>
    <t>Vengard</t>
  </si>
  <si>
    <t>Sowa</t>
  </si>
  <si>
    <t>Lizel</t>
  </si>
  <si>
    <t>Bron</t>
  </si>
  <si>
    <t>Trzmiel</t>
  </si>
  <si>
    <t>Orlando</t>
  </si>
  <si>
    <t>Jopke</t>
  </si>
  <si>
    <t>Galm</t>
  </si>
  <si>
    <t>Kłoda</t>
  </si>
  <si>
    <t>Art</t>
  </si>
  <si>
    <t>Merik</t>
  </si>
  <si>
    <t>Nadia</t>
  </si>
  <si>
    <t>Lago</t>
  </si>
  <si>
    <t>Krótki Josif</t>
  </si>
  <si>
    <t>Shador</t>
  </si>
  <si>
    <t>Einar</t>
  </si>
  <si>
    <t>Rudy Faja</t>
  </si>
  <si>
    <t>Nazwa grupy</t>
  </si>
  <si>
    <t>Członkowie (imiona postaci rozdzielone przecinkiem)</t>
  </si>
  <si>
    <t>Kręcący</t>
  </si>
  <si>
    <t>Sarniak,Karax,Ligon</t>
  </si>
  <si>
    <t>Rozeciarze</t>
  </si>
  <si>
    <t>Agrest,Kłoda</t>
  </si>
  <si>
    <t>Złodzieje</t>
  </si>
  <si>
    <t>Agrest,Lizel,Jopke</t>
  </si>
  <si>
    <t>Zielnicy</t>
  </si>
  <si>
    <t>Art,Galm</t>
  </si>
  <si>
    <t>Myśliwi</t>
  </si>
  <si>
    <t>Trzmiel,Hugon zwany Jeżem,Rez, Barett,Rudzik,Galm,Shador</t>
  </si>
  <si>
    <t>Brygada Pierwsza</t>
  </si>
  <si>
    <t>Art,Bron,Chudy,Galm,Grzebor,Skaza,Jurgen,Łajza,Orlando,Sowa,Zek</t>
  </si>
  <si>
    <t>Brygada Druga</t>
  </si>
  <si>
    <t>Erart,Fenek,Hiram,Krótki Josif,Leonardo,Lotka,Maruda,Melgen,Merik,Oriana „Hiena”,Ravill</t>
  </si>
  <si>
    <t>Brygada Trzecia</t>
  </si>
  <si>
    <t>Agrest,Cykuta,Kulcs,Lizel,Pocak,Rez,Rudzik,Shador,Sójka,Szikra,Zguba</t>
  </si>
  <si>
    <t>Brygada Czwarta</t>
  </si>
  <si>
    <t>Cespenar,Dodo,Hugon zwany Jeżem,Jopke,Kati,Marta,Nadia,Neralis,Olga,Skośny,Trzmiel</t>
  </si>
  <si>
    <t>Brygada Szósta</t>
  </si>
  <si>
    <t>Barett,Kafar,Karax,Kimbo,Kłoda,Ligon,Sarniak,Smalec Faja,Yarem,Eiron</t>
  </si>
  <si>
    <t>Cztery kroki za Nicholasa</t>
  </si>
  <si>
    <t>Grzebor,Maruda,Nadia,Yarem</t>
  </si>
  <si>
    <t>Czterej Królowie</t>
  </si>
  <si>
    <t>Leonardo,Melgen,Kimbo,Skaza</t>
  </si>
  <si>
    <t>Pod naszym nosem</t>
  </si>
  <si>
    <t>Marta,Sójka</t>
  </si>
  <si>
    <t>Podziemny Krąg</t>
  </si>
  <si>
    <t>Zguba,Cykuta,Melgen,Cespenar</t>
  </si>
  <si>
    <t>Zakazany Rytuał</t>
  </si>
  <si>
    <t>Cykuta,Cespenar,Olga,Zguba,Yarem</t>
  </si>
  <si>
    <t>Kwestia Honoru</t>
  </si>
  <si>
    <t>Kati,Cespenar,Olga</t>
  </si>
  <si>
    <t>Skrzyneczka Alepha</t>
  </si>
  <si>
    <t>Dodo,Zek,Oriana "Hiena"</t>
  </si>
  <si>
    <t>Skok stulecia</t>
  </si>
  <si>
    <t>Sarniak,Ligon</t>
  </si>
  <si>
    <t>Ancient pages</t>
  </si>
  <si>
    <t>Szikra,Kulcs,Pocak</t>
  </si>
  <si>
    <t>Klucz do sukcesu</t>
  </si>
  <si>
    <t>Kafar,Karax,Kimbo</t>
  </si>
  <si>
    <t>Laleczka</t>
  </si>
  <si>
    <t>Fenek,Bron,Trzmiel,Jopke</t>
  </si>
  <si>
    <t>Niuch niuch?!</t>
  </si>
  <si>
    <t>Rudzik,Lizel,Orlando</t>
  </si>
  <si>
    <t>Ostatnia osada Fajów</t>
  </si>
  <si>
    <t>Smalec Faja,Rudy Faja</t>
  </si>
  <si>
    <t>Nocne spotkanie</t>
  </si>
  <si>
    <t>Łajza,Grzebor,Sójka,Neralis</t>
  </si>
  <si>
    <t>Prawdziwa władza</t>
  </si>
  <si>
    <t>Cykuta,Maruda,Marta,Sarniak,Jurgen</t>
  </si>
  <si>
    <t>Skromny sługa</t>
  </si>
  <si>
    <t>Agrest, Neralis</t>
  </si>
  <si>
    <t>A night to remember</t>
  </si>
  <si>
    <t>Balwierze</t>
  </si>
  <si>
    <t>Lotka,Ravill,Erart,Leonardo</t>
  </si>
  <si>
    <t>Pokrzywdzeni przez Maga</t>
  </si>
  <si>
    <t>Hugon zwany Jeżem,Neralis,Sowa,Jurgen</t>
  </si>
  <si>
    <t>Zleceniodawcy Najemnika</t>
  </si>
  <si>
    <t>Art,Merik,Krótki Josif</t>
  </si>
  <si>
    <t>Łowcy żbików</t>
  </si>
  <si>
    <t>Rez,Agrest,Shador</t>
  </si>
  <si>
    <t>Biedne kopaczątka</t>
  </si>
  <si>
    <t>Galm,Kłoda,Hiram</t>
  </si>
  <si>
    <t>Zleceniodawcy Cienia</t>
  </si>
  <si>
    <t>Jurgen,Chudy,Łajza</t>
  </si>
  <si>
    <t>Kupą na Yarema</t>
  </si>
  <si>
    <t>Ligon,Kafar,Smalec Faja,Karax</t>
  </si>
  <si>
    <t>Dłużnicy</t>
  </si>
  <si>
    <t>Bron,Einar,Skośny</t>
  </si>
  <si>
    <t>Mój Brat Benito</t>
  </si>
  <si>
    <t>Yarem,Trzmiel,Jopke</t>
  </si>
  <si>
    <t>Pancerz z pełzacza - entuzjasta</t>
  </si>
  <si>
    <t>Jurgen,Łajza,Orlando,Art</t>
  </si>
  <si>
    <t>Pancerz z pełzacza - sceptyk</t>
  </si>
  <si>
    <t>Galm,Grzebor,Skaza</t>
  </si>
  <si>
    <t>Pancerz z pełzacza - oportunista</t>
  </si>
  <si>
    <t>Bron,Sowa,Zek</t>
  </si>
  <si>
    <t>Hazardziści</t>
  </si>
  <si>
    <t>Melgen,Ravil,Maruda,Kafar,Merik,Skaza</t>
  </si>
  <si>
    <t>Mściciele</t>
  </si>
  <si>
    <t>Zguba,Lizel,Maruda,Łajza,Erart</t>
  </si>
  <si>
    <t>Fajowie</t>
  </si>
  <si>
    <t>Kandydaci</t>
  </si>
  <si>
    <t>Lizel,Jurgen,Sójka</t>
  </si>
  <si>
    <t>Przeciw Wolfowi</t>
  </si>
  <si>
    <t>Sójka,Kati,Skośny</t>
  </si>
  <si>
    <t>Nazwa wątku</t>
  </si>
  <si>
    <t>Zakres wątku</t>
  </si>
  <si>
    <t>Wymień członków</t>
  </si>
  <si>
    <t>Nazwa klasy / grupy / postaci</t>
  </si>
  <si>
    <t>Kolejność</t>
  </si>
  <si>
    <t>Wpis fabularny</t>
  </si>
  <si>
    <t>Krótki opis</t>
  </si>
  <si>
    <t>Zleceniodawca</t>
  </si>
  <si>
    <t>Zaangażowane frakcje</t>
  </si>
  <si>
    <t>Potrzebne rekwizyty</t>
  </si>
  <si>
    <t>Nagroda</t>
  </si>
  <si>
    <t>Okrakiem na płocie</t>
  </si>
  <si>
    <t>Postać</t>
  </si>
  <si>
    <t>Nie</t>
  </si>
  <si>
    <t xml:space="preserve">Długo grałeś na dwa fronty. Magnaci Sam i Alvarez – obaj ci ufają, obaj ci płacą, obaj uważają, że jesteś ich człowiekiem. Ty zaś, z chłodną kalkulacją donosiłeś obu, karmiąc ich informacjami, które wydawały ci się bezpieczne. Aż do niedawna.
Kilka dni temu, po wyjątkowo trudniej szychcie, postanowiłeś, że to jest dzień na to, by przepić wypłatę. W karczmie strażniczy but szybko zepchnął Cię z taboretu pod ścianę, oznajmiając, że tam Twoje miejsce. Jakież było Twoje zdziwienie, gdy z ich ust usłyszałeś swoje imię. Udając, że bardzo zajmuje Cię picie piwa pod ścianą, wytężyłeś ucho i podsłuchałeś ich rozmowę – jeden był lojalistą Sama, drugi pracował dla Alvareza, jak wynikałoby z ich dialogu, o ile te świńskie chrumknięcia i żarty o żurze można w ogóle tak nazwać. Rozmawiali cicho, ale wyraźnie padło twoje imię. „Trzeba będzie porównać wersje Jurgena” – powiedział jeden. Drugi dodał coś o „sprzątaniu brudów” zanim dojdzie do rozmów między ich panami. Serce ci zamarło. Dobrze, że nie rozpoznali Cię przez brud z kopalni okrywający Twoją mordę.
Chwilę później wpadł ich sierżant, rzucając kurwami na prawo i lewo - te debile ominęły swoją wartę na Zamku. Z drugiej strony - chyba powinieneś im dziękować. Wiesz już, że robi się niebezpiecznie. Magnaci coś przeczuwają, a gorąca atmosfera Kolonii nie sprzyja byciu między młotem, a kowadłem. A jeśli się dogadają? Gdy tak się stanie, może ty staniesz pierwszy na ich celowniku – jako wspólny wróg. Niedługo może przyjść czas wyboru: komu naprawdę jesteś lojalny? I jak sprawić, by drugi nie zorientował się za szybko… albo zorientował się za późno.
Wszelkie próby odnalezienia tej dwójki trepów z karczmy spełzły na niczym. Ktoś szepnął ci, że znaleziono ich rozszarpanych w lesie przez zwierzę o pazurach większych od niedźwiedzia, zamsakrowanych i z wyżartymi wnętrznościami. To dobrze. Daje ci to trochę więcej czasu.
</t>
  </si>
  <si>
    <t>Gracz musi zdecydować wobec którego Magnata jest lojalny i zaczyna mieć kłopoty z racji bycia podwójnym agentem.</t>
  </si>
  <si>
    <t>Magnaci, Kopacze</t>
  </si>
  <si>
    <t>Jutro będzie futro</t>
  </si>
  <si>
    <t>Ten Przeklęty Pasco niby nic nie wiedział o zleceniu, które sam wystawił. Odbiłeś się od niego jak chrząszcz ciśnięty o ścianę. Prawdopodobnie jeszcze śmiał się z Ciebie za plecami, jak to cienie mają w zwyczaju. Osatnie trzy miesiące nie były łatwe. Strażnicy nie dają żyć, bąble na rękach puchną, a każde upokorzenie odchodziło w niepamięć, bo przecież pojawiają się nowe. Tak samo było i z tym głupim futrem Ivira.
Do czasu aż nie postanowiłeś kopać nieco bliżej posążka Innosa. Ekspozycja na strażników może i trochę większa, ale bogowie - ten powiew chłodu od strony wejścia do kopalni to prawdziwe błogosławieństwo. Nagle zobaczyłeś skrawek papieru wystający spomiędzy kamieni. Drżącą ręką sięgnąłeś po niego, dłutkiem obłupując delikatnie fragmenty. Szybko schowałeś zawiniątko, otwierając je dopiero w bezpiecznym zaciszu slumsów. Jakież było Twoje zdziwienie, gdy z każdym kolejnym zdaniem okazywało się, że trzymasz w dłoniach recepturę alchemiczną Mistrza Orenthosa Zielnego, który używał futra z bestii do stworzenia potężnego wywaru. Na pewno trzeba będzie zebrać więcej, ale Ivir już może się mocno zdenerwować. Z tego co widziałeś, najemnik Gizmo ma kitkę, która się nada.
Niestety - biednemu zawsze wiatr w oczy, a w tym wypadku - w recepturę. Mocny powiew wyszarpał dokument z Twoich rąk i poniósł go gdzieś przez kolonię. Kto wie - może uda Ci się go znaleźć i odtworzyć eliksir, a to przeklęte futerko w końcu na coś się przyda. No i zagrasz Pasco na nosie.</t>
  </si>
  <si>
    <t>Gracz musi odnaleźć i odtworzyć recepturę alchemiczną z wykorzystaniem futra z pancerza Ivira.</t>
  </si>
  <si>
    <t>Receptura na eliksir i futro Ivira + Kitka dla najemnika</t>
  </si>
  <si>
    <t>Do grobowej deski</t>
  </si>
  <si>
    <t>Jeśli życie kopacza cię czegoś nauczyło, to że o przyjaciołach się nie zapomina. Nawet jeśli umarli. Śmierć Ustregala nie daje Ci spokoju od dłuższego czasu. Jak to możliwe? Co się wydarzyło? Niemal każdej nocy nawiedzają Cię dziwne sny. Słyszysz czyjś śmiech. Wzrok spływa Ci krwią. W tle słychać wycie wilków i szczęk łańcuchów. Wstajesz zlany potem, z ciężkim oddechem i poczuciem jakby ktoś na torsie położył Ci kamienie. Być może prawda okaże się lekiem na Twoją bezsenność? Jesteś pewien, że jeżeli pokopiesz nieco głębiej, popytasz swoich kontaktów w Starym Obozie, a może nawet stworzysz nowe - dotrzesz do sedna tej sprawy. Nie tak dawno temu słyszałeś, że "zakopali ich niedaleko zamku". Trudno powiedzieć, czy chodziło o Ustregala, ale przecież nawet nikły trop, to jakiś trop. Wyciągniesz wszystko na światło dzienne - w końcu byliście przyjaciółmi do grobowej deski.</t>
  </si>
  <si>
    <t>Gracz szuka prawdy o śmierci Ustregala.</t>
  </si>
  <si>
    <t>Ręka trupa + list</t>
  </si>
  <si>
    <t>Echa Przeszłości</t>
  </si>
  <si>
    <t>Klasa</t>
  </si>
  <si>
    <t>Kopacze</t>
  </si>
  <si>
    <t>Trzy miesiące temu świat stanął w ogniu. Staliśmy tam wszyscy. Niektórzy zafascynowani śledzili ogniste kule zbierające się przy dłoniach magów. Inni przerażeni, z paranoją schowaną za czernią źrenic szukali znaków, że Nekromanta jednak powróci. No i byli Ci ostatni, za mało pijani by się cieszyć, zbyt pijani by się bać. Niebo zapłonęło, ziemia zadrżała, a echo wycia magini Lux wciąż krąży po korytarzach starej kopalni. Krew spieraliśmy z koszul dobre dwa tygodnie. Jej wybuch nie tylko wypalił kamienie na bruku pod kasztelem – wypalił coś w nas. Od tamtej pory wszystko się zmieniło.
Gomez, stary lis, wyczuł okazję na poszerzenie wpływów i pozbycie się smrodu z Obozu. Gdy skazańców zaczęło przybywać z każdym transportem, a miejsca w karczmie zaczęło brakować, rozkazał postawić Slumsy – pod samym wejściem do szybu. Kilka namiotów i płotów, zbite na szybko, cuchnące potem, krwią i strachem. Ciasne, jak gacie Wrzoda. To nowy dom dla zagubionych i stara prycza dla tych, którzy zgryźli zęby na cudzej rudzie. Oficjalnie nie ma tam władzy – ale każdy głupi wie, kto pociąga za sznurki. Eddy – krętacz, handlarz, złodziej – ma ucho w każdej ścianie i jakimś cudem nigdy nie pracuje, a ze strażnikami żyje jak król. A jak ktoś się stawia, to przychodzi Golem. Stary kopacz, o którego ksywce krążą legendy, a który stał się filarem i oparciem w jedności kopaczy.
Ale to nie wszystko. Wśród nas krążą opowieści – o piątej brygadzie, o Magnusie. Plotka goni plotkę i zatacza coraz większy krąg, a choć usta są siłą zamknięte, to pamięć pozostaje w drobnych gestach, szeptach i listach. Zrobiło się nas też więcej, jest zatem nowa brygada. Szósta. Karna. Tam trafiają ci, którzy podpadli wysoko postawionym. Wystarczy jedno nie to spojrzenie, jedna uwaga w nieodpowiednim miejscu – i już kopiesz z nimi, bez snu, bez racji żywnościowej, pod strażą, co bardziej przypomina bestię niż człowieka. Lepiej zginąć w slumsach niż trafić do szóstej brygady – mówią. I chyba mają rację.
Napięcie rośnie. Strażnicy coraz częściej wyciągają broń – nawet za nic. Zwykła sprzeczka o kawałek chleba może skończyć się połamanymi żebrami. Coś musimy z tym zrobić i zrobimy. Zapomnij o buncie, zaleją nas własną krwią, a przy takiej podaży nowych skazańców, może się nawet okazać, że im by wyszło na dobre. Ale jakoś musimy się zabezpieczyć. Coś trzeba zrobić, żeby żyło nam się lepiej, bo dłużej tak być nie może. I jeszcze te plotki… Ktoś mówi, że bariera się przesuwa. Że coś się zmienia. Że ci, którzy znikają nocą, wcale nie są ofiarami bandytów, tylko… czegoś gorszego. Ale to tylko bajki, prawda? Kto by wierzył plotkom rzucanym między jednym bełtem, a drugim.</t>
  </si>
  <si>
    <t>Wstęp do larpa dla każdego Kopacza.</t>
  </si>
  <si>
    <t>Pierścień Maga</t>
  </si>
  <si>
    <r>
      <rPr>
        <rFont val="Arial"/>
        <color rgb="FF000000"/>
      </rPr>
      <t xml:space="preserve">Kto się nie dopomina ten traci - tak brzmi stare znane przysłowie. No dobrze, nie brzmi - po prostu zakosiłeś ten pierścień i teraz nad wyraz się przydaje. Trzeba jednak uważać, magowie wody może i nie wyciągają po niego swoich rąk, ale z pewnością budzi zainteresowanie w slumsach. Parę razy już słyszałeś szept, przechadzając się między namiotami i palce wyciągnięte w Twoją stronę. Ostatnio był tak duży zrzut nowych, a mają jeszcze przyjść, że Twoja reputacja może nie wystarczyć żeby uchronić cię przed lepkimi rękami. </t>
    </r>
    <r>
      <rPr>
        <rFont val="Arial"/>
        <color rgb="FF000000"/>
      </rPr>
      <t>Tak, czy inaczej</t>
    </r>
    <r>
      <rPr>
        <rFont val="Arial"/>
        <color rgb="FF000000"/>
      </rPr>
      <t xml:space="preserve"> problem polega na czym innym - ty tego pierścienia nie masz. Znaczy masz, ale to skomplikowane.
Cztery dni temu na szychcie zaatakował pełzacz. Co Cię tknęło? Innos raczy wiedzieć, ale gdy Nolan nie wracał ze strażnikami z szybu, postanowiłeś zajrzeć do środka. Rozerwane przez szczęki bestii ciała długo będą śniły ci się po nocach. Nolan jeszcze stał na nogach i walczył, ale leżał już na glebie. Zrobiłeś to, co pierwsze przyszło Ci do głowy - zacząłeś napierdalać kilofem w bramę. Hałas odwrócił uwagę pełzacza, który chciał ruszyć na Ciebie ale te kilka chwil dało czas Nolanowi by przebić go mieczem. Cóż, jak Nolan traktuje kopaczy wiadomo, ale po tym razie w kopalni umówiliście się na krótki układ (a właściwie po prostu został Ci zaproponowany). Nikomu nie powiesz o tym incydencie. A w zamian Nolan będzie przechowywał Twój pierścień między szychtami, żeby nikt ci go nie zabrał. Problem polega jednak na tym, że po wczorajszym nocnym ataku pełzacza jeszcze nie zdążyliście się złapać. Czy na pewno uhonoruje układ?</t>
    </r>
  </si>
  <si>
    <t>Gracz odzyskuje pierścień Medusa zdobyty na poprzedniej edycji</t>
  </si>
  <si>
    <t>Pierścień dla Marudy</t>
  </si>
  <si>
    <t>Ten jeszcze bardziej przeklęty Fisk</t>
  </si>
  <si>
    <r>
      <rPr>
        <rFont val="Arial"/>
        <color rgb="FF000000"/>
      </rPr>
      <t xml:space="preserve">Ten przeklęty Fisk! Wystrychnął Cię na dudka, a fantastyczna opcja na miecz śmignęła obok Twojego nosa. Zachłanny skurwiel musi dostać za swoje, ale przecież nie możesz wejść w otwarty konflikt z Cieniem. Kolejne tygodnie mijały, aż nagle, w trakcie czekania aż strażnicy rozprawią się z pełzaczem usłyszałeś Nolana narzekającego na Fiska. Podobno Cień także niezbyt sprawiedliwie go potraktowal, stawiając mu zaporową cenę za amulet, który ten zgubił. Wykup srogo kosztował strażnika, na co nie omieszkał narzekać pod nosem, wystawiając kopalniane kwity.
Być może to jest Twoja okazja na odzyskanie swojego? Gdyby Nolan stanął za Twoimi plecami, utarcie nosa Fiskowi byłoby łatwiejsze, a na pewno bezpieczniejsze. I może nawet położyłbyś łapę na jakimś dobrym kawałku stali? Z drugiej strony, gdyby ostrzec Fiska może ten spojrzałby przychylniej na Twoja kandydaturę na cienia? Ostatnio miałeś pecha, ale chyba karta zaczęła się do Ciebie </t>
    </r>
    <r>
      <rPr>
        <rFont val="Arial"/>
        <color rgb="FF000000"/>
      </rPr>
      <t>uśmiech</t>
    </r>
    <r>
      <rPr>
        <rFont val="Arial"/>
        <color rgb="FF000000"/>
      </rPr>
      <t xml:space="preserve"> - trzeba jeszcze tylko dobrze to wykorzystać.</t>
    </r>
  </si>
  <si>
    <t>Jakaś "broń" dla Nolana</t>
  </si>
  <si>
    <t>Zła Wiara</t>
  </si>
  <si>
    <t>To był dzień jak każdy inny. Robota, kopalnia, krótka chwila radości w karczmie, a potem wieczorny powrót do domu. Nowego domu na Slumsach. Przysiadłeś pod namiotem brygady chowając twarz w dłoniach. Słowa maga, z którym rozmawiałeś wciąż huczały Ci we łbie, a gniew mieszał się z łaską wybaczenia. Na to wszystko nakładała się chęć zbliżenia się do jednej z najbardziej elitarnych kast w obozie.Zdaje się, że Innos w końcu zaczął ci sprzyjać, bo wytężając słuch usłyszałeś rozmowę dwóch Kopaczy. Nie udało się wyłapać wszystkiego, ale jesteś pewien, że dialog dotyczył zaszkodzenia komuś z bandy klasztornej. Niestety, przez trzask ogniska i rejwach nocnej hulanki w slumsach nie udało ci się dobrze rozpoznać głosu, a już na pewno nie przypisać do imienia. Nie uchodziło jednak wątpliwości, że ktoś zasadzał się na cieni z nowo powstałej bandy, ktoś kto ma zatarg z osobą stamtąd - podobno chodziło o jakąś sytuację w kopalni? Więcej nie udało ci się usłyszeć. Stuknęli się butelkami i poszli w swoje strony. Jesteś pewien, że odpowiednio podana informacja zbliży cię do magów, ale doskonale rozumiesz też, że samo "ktoś chce was zaatakować" bez choćby imienia ofiary to nic cennego. Być może małe śledztwo zbliży cię do odpowiedzi na pytanie kto działa w złej wierze?</t>
  </si>
  <si>
    <t>Przyjaciele w wyższych sferach</t>
  </si>
  <si>
    <t>Warto mieć wysoko postawionych przyjaciół, a podopieczni z Twojej brygady dostają się na coraz wyższe stołki. Dzięki temu układy i układziki idą jakoś sprawniej. Tak też było w przypadku Strażnika Denisa, a choć historia mogła potoczyć się inaczej - wyszłaś na tym naprawdę dobrze. To było tydzień temu na ostatniej szychcie, kończyliście już robotę, a strażnik kończył sprawdzać szyby. Wychodziliście jako ostatni. Nagle coś zatrzęsło kopalnią, a jedna belka opadła, uderzając Denisa w plecy i przygniatając go do ziemi. Mogłabyś go zostawić... zastanowienie się zajęło ci dwa oddechy i ruszyłaś mu na pomoc. Wspólnymi siłami zrzuciliście belkę i wyszliście z kopalni poganiani klekotem szczęk pełzacza.
Denis powiedział, że jeżeli komukolwiek powiesz o tym wydarzeniu, piąta brygada będzie twoim marzeniem. Udało ci się jednak wynegocjować umowę - tydzień lżejszego traktowania dla Ciebie i Twojej brygady przez ludzi Ulęgałkę. Nie ma co, brzmiało to jak zbyt piękne, by było prawdziwe, bo wiadomo który dowódca najbardziej lubi trzask kopaczowych piszczeli. Ale faktycznie. Mniej bicia, mniej dokładne "trzepania", ostatni tydzień był jak życie w miodzie i mleku. Dziś mija ostatni dzień umowy. Jeżeli chcesz to kontynuować, trzeba dogadać się z Denisem co dalej. Byleby tylko nie przegiąć struny, bo szczęście może mieć krótkie nogi.</t>
  </si>
  <si>
    <t>Krucha sieć lojalności</t>
  </si>
  <si>
    <t>Gildia Złodziei od zawsze była dobrą inwestycją, o ile ktoś już się do niej dostał. A ty? Ty pięłaś się po jej szczeblach, wykrawając sobie w tej parszywej kolonii swój kawałek tortu. Nowych nabytków nigdy nie brakowało, ale trzeba było być dobrym. Tak, czy inaczej o napływ świeżej krwi nie trzeba było się martwić. Co innego ta, która już tętniła w waszych szeregach. Ta, na której szum już nikt nie zwracał uwagi, a która mogła nieść truciznę wprost do waszych serc. Całe szczęście ty zawsze uszy masz nadstawione i oczy szeroko otwarte.
To był w miarę spokojny dzień, a Tobie udało się zarobić kilka bryłek - karczma była miejscem, gdzie trzeba było je spieniężyć. A przy okazji posłuchać co też obozowi bywalcy mają sobie do powiedzenia. Zauważyłaś Jurgena dokładnie w chwili, w której dwóch strażników strąciło go kopnięciem z taboretu, a potem coś mówili. O nim. O praniu brudów i o sprawdzaniu. Czyżby jego lojalność była wątpliwa? Trzeba wymyślić sposób, by ją sprawdzić. Dowiedzieć się co robi, kto chce coś na niego prać i komu jest tak naprawdę lojalny. Najważniejsze jednak, by nie zorientował się, że to test.</t>
  </si>
  <si>
    <t>Nietypowe poparcie</t>
  </si>
  <si>
    <r>
      <rPr>
        <rFont val="Arial"/>
        <color rgb="FF000000"/>
      </rPr>
      <t>Dostać się od razu do straży nie jest łatwo.</t>
    </r>
    <r>
      <rPr>
        <rFont val="Arial"/>
        <color rgb="FF000000"/>
      </rPr>
      <t xml:space="preserve"> Ale też nie jest to możliwe,</t>
    </r>
    <r>
      <rPr>
        <rFont val="Arial"/>
        <color rgb="FF000000"/>
      </rPr>
      <t xml:space="preserve"> co widać chociażby po Twoim znienawidzonym człowieku - Vargu. Czy można sprzymierzyć się z wrogiem, by docisnąć kolejnego wroga? Moralne ścieżki zawiodły Cię dokładnie na to pytanie. Otóż Nolan jest, nie da się ukryć, strażnikiem. A poparcie strażnika, zwłaszcza takiego, który odpowiada bezpośrednio przed Thorusem może wiele znaczyć. Okazja za to nadażyła się sama. Kopiąc blisko wejścia do kopalni na wczorajszej szychcie usłyszałaś Hycla, który mówił, że jeżeli ktoś przyniesie mu ucho orka, to zaklina się na Innosa, że powie o takim kopaczu dobre słowo Thorusowi, który jak wiadomo jest jego najlepszym przyjacielem. Pewnie jak zwykle przechwalał się na wyrost, ale trochę prawdy w tym być musi. Chociaż z drugiej strony, czy ktoś ufał w tym miejscu Nolanowi?</t>
    </r>
  </si>
  <si>
    <t>Ja - Guru</t>
  </si>
  <si>
    <r>
      <rPr>
        <rFont val="Arial"/>
        <color rgb="FF000000"/>
      </rPr>
      <t xml:space="preserve">Ciemność.
Nic nie słyszysz. Ani bicia własnego serca, ani szeptów, które znasz tak dobrze. Tylko cisza. Głęboka, jakby świat przestał istnieć. Nagle pod powiekami wybucha czerwone światło – pulsujące, powoli rosnące. To oko. Jedno, ogromne, pozbawione powiek, otwarte na oścież. Patrzy na Ciebie przez otchłanną nicość świata. Nie masz ciała. Unosisz się nad bagnem, które płonie błękitnym ogniem, z </t>
    </r>
    <r>
      <rPr>
        <rFont val="Arial"/>
        <color rgb="FF000000"/>
      </rPr>
      <t>którego</t>
    </r>
    <r>
      <rPr>
        <rFont val="Arial"/>
        <color rgb="FF000000"/>
      </rPr>
      <t xml:space="preserve"> wyrasta ryk. Widzisz kopaczy tonących w błocie, którzy wyciągają do ciebie ręce. Krzyczą, ale nie słyszysz słów. Tylko czujesz głód. Nie jedzenia – głód mocy.
Ty sam stoisz na kładce prowadzącej do świątyni, lecz wejścia bronią trzej Guru. Dwóch odwraca wzrok. Trzeci – bez twarzy - rozwiera usta, wypluwając na Twoje dłonie kulę papieru. To fragment strony. Czujesz smak starej skóry, którymi obija się księgi. Słyszysz głos pierwszego. Potem drugiego. W końcu i trzeciego i dopiero wtedy świątynia staje przed Tobą otworem.
„Wielu chce mówić moim głosem. Ale tylko ten, kto milczy, pozna prawdę. Czy oddasz swe ja, by stać się naczyniem?” - słyszysz głos w swojej głowie, choć dookoła nie ma niczego. Zapadasz się w miękkość nicości, nie czując strachu, złości, czy radości. Bezkształtna, miękka masa którą się stajesz formowana jest z zieleniejącej się cieczy wypełnionej fragmentami ciał innych, którzy w tyglu mieleni są na jednorodną papkę.
Budząc się, czujesz smak popiołu i soli na języku. Twoje ręce drżą. Pot oblewa Twoje ciało. Wyciagasz przed siebie dłonie, by sprawdzić, czy nie straciłeś kończyn w dziwacznej mazi. Żyjesz. To tylko kolejna zarwana koszmarem noc w Kolonii. Koszmarem, albo wizją.</t>
    </r>
  </si>
  <si>
    <t>Strzała w kolano</t>
  </si>
  <si>
    <t>Próbowałeś wszystkiego - zwojów, mikstur, maści i masaży. Twoje kolano po prostu nie działa, jak powinno, nadal przeszywając Cię bólem na wskroś za każdym razem, gdy je zginasz. Zwykli Magowie nie byli w stanie Ci pomóc, po prostu nie mogąc zdiagnozować przyczyny problemu. Nie rozmawiałeś już tylko z Arcymistrzami... oraz Guru.</t>
  </si>
  <si>
    <t>Melgenowi nadal doskwiera Kolano. Próbował już wszystkiego - mikstur, zwojów, klasycznej niemagicznej medycyny i nic nie pomogło. Czas poszukać pomocy u Magów - jednak oni, jak i Apteka twierdzą, że kolano jest w zupełności zdrowe - może problem znajduje się w jego głowie..? Melgen skierowany jest do OnB, gdzie przy pomocy Bagiennego Ziela przeleczyć ma swoją traumę i uzdrowić rzeczywisty problem, znajdujący się w jego psychice. Doprecyzować z Dymkiem</t>
  </si>
  <si>
    <t>Kopacze, Nowicjusze, Guru, Magowie Ognia, Magowie Wody</t>
  </si>
  <si>
    <t>Kto mieczem wojuje</t>
  </si>
  <si>
    <t>Jak to mówią - życie jak gówno na kole, raz na górze, raz na dole. Jako strażnik miejski wrzuciłeś pod Barierę kilku ludzi, solidnie i należycie wykonując swoje obowiązki. Teraz sam tu trafiłeś. I niestety widujesz trochę znajomych twarzy... Najgorzej, że nie wiadomo, gdzie w hierarchii są teraz bandyci, których skazałeś na ten kierat. Paranoja zaczyna się nasilać. Czujesz czyjś oddech za każdym razem gdy wchodzisz w ciemniejszą uliczkę, a każdy podchodzący do Ciebie człowiek może mieć ze sobą broń. Podobno wśród Najemników jest ktoś z Twoich okolic. Doszły Cię też słuchy o kilku staroobozowiczach jakich dopadł rzetelny strażnik miejski. Może trzeba ich znaleźć zanim oni znajdą Ciebie? Z drugiej strony - może czekanie na swój los będzie właściwym podejściem? Jak unieść konsekwencje swoich decyzji? Uciekać od nich, czy wyjść im naprzeciw. Oto jest pytanie godne przyszłego fechmistrza.</t>
  </si>
  <si>
    <t>Rodzina jest najważniejsza (C)</t>
  </si>
  <si>
    <r>
      <rPr>
        <rFont val="Arial"/>
        <color rgb="FF000000"/>
      </rPr>
      <t xml:space="preserve">Kopalnia zżera ludzi powoli. Warstwa po warstwie. Najpierw ciało – od kręgosłupa po odciski. Potem głos – robi się cichy, wycofany. Na końcu oczy – gasną i zostaje tylko wpatrywanie się w skałę. Widziałeś to setki razy. Tę wolę walki, która z początku płonie, a potem, dzień po </t>
    </r>
    <r>
      <rPr>
        <rFont val="Arial"/>
        <color rgb="FF000000"/>
      </rPr>
      <t>dni</t>
    </r>
    <r>
      <rPr>
        <rFont val="Arial"/>
        <color rgb="FF000000"/>
      </rPr>
      <t>, jest duszona jak niepotrzebny już rodzinie kot. I widzisz to teraz u Neralis.
Gdyś tu trafił, to ona trzymała się lepiej. Duma w spojrzeniu, słowa zawsze twarde jak kilof. Nigdy nie dała ci odczuć oczywistej prawdy - gnije tu przez ciebie. Z czasem zaczęła milknąć. Życie kopacza łamie nawet takich jak ona – a gdy trafiła ostatnio na głębszy poziom i wróciła po tygodniu z pękniętym nadgarstkiem, coś w niej się wypaliło. Powoli jej spojrzenie gaśnie i jeszcze kilka takich dni, kilka ran od trzonka kilofa na dłoniach i nie wytrzyma. A ty dobrze wiesz co dzieje się z tymi, którzy tracą nadzieję. Albo ze sobą kończą, albo rzucają się na strażników w szale - efekt ten sam.
Nie zniósłbyś tego. Zrobisz wszystko, by wyciągnąć ją z tej dziury – choćbyś sam musiał sprzedać się komuś wyżej. Może znaleźć sposób, by przenieść ją do kuchni? Może wkręcić ją jako pomocnicę Magów Ognia, a może trzeba będzie dobić targu z Nolanem? Błagać o protekcję na Slumsach? Ukryć ją w Nowym Obozie? Desperackie czasy wymagają desperackich czynów.
Ale jedno wiesz na pewno:
Nie pozwolisz by Twoja kobieta zdechła tu jak pies, podczas gdy inni śpią na siennikach ze złota i rudy.</t>
    </r>
  </si>
  <si>
    <t>Wina Kopacza! (Olga)</t>
  </si>
  <si>
    <t>Wszystko zaczęło się od kilku kropel i zbyt długiego języka.
Leonardo, z przekonaniem godnym członka Kręgu Ognia, stwierdził, że wino z winnicy Valerio na południowych zboczach Archolos to najczystszy dar Innosa. Nie mogłaś tak po prostu siedzieć i słuchać tych kocopołów, więc odparłaś, że to „kwaśny szczyn” i że nie rozpoznałby dobrego wina nawet jakby ko kopnęło w dupę. Poza tym, w winnicy Rity tłoczy się coś, co sprawiłoby, że nawet Gomez się uśmiechnąłby po dwóch łykach.
Słowa poszły za daleko. Ktoś coś rozlał. Ktoś rzucił kubkiem. Ktoś zaproponował pojedynek – ale nie na pięści, tylko na… trunek. Tak narodził się Konkurs Eddiego.
Zasady są proste: Kto do piątku do godziny 16:00 przyniesie Eddiemu najlepszy trunek – ten wygrywa.
Eddie, znany smakosz, zaprzysięgły alkoholik i pierwszy kutasiarz kolonii, będzie sędzią. Ma wyczulony język i wyjątkowo złośliwe poczucie humoru. A przede wszystkim – nie da się go przekupić. No dobra, to ostatnie to nie.
Teraz wszystko zależy od Ciebie.Może sprowadzić coś z zewnątrz? Może dogadać się z przemytnikami? Może samemu coś zmieszać? Może spróbować sabotażu?
Jedno jest pewne. Jak zwykle, to wina kopacza.</t>
  </si>
  <si>
    <t>Wina Kopacza! (Leonardo)</t>
  </si>
  <si>
    <t>Wszystko zaczęło się od kilku kropel i zbyt długiego języka.
Z przekonaniem godnym członka Kręgu Ognia, stwierdziłeś przy ognisku w Slumsach, że wino z winnicy Valerio na południowych zboczach Archolos to najczystszy dar Innosa. No i oczywiście ta raszpla Olga postanowiła się odezwać. Odparła, że to „kwaśny szczyn” i że nie rozpoznałbyś dobrego wina nawet jakby cię kopnęło w dupę. Poza tym, w winnicy Rity tłoczy się niby coś, co sprawiłoby, że nawet Gomez się uśmiechnąłby po dwóch łykach. Jasne. A ty jesteś Magnat Leonardo ze Srającej Skały.
Słowa poszły za daleko. Ktoś coś rozlał. Ktoś rzucił kubkiem. Ktoś zaproponował pojedynek – ale nie na pięści, tylko na… trunek. Tak narodził się Konkurs Eddiego.
Zasady są proste: Kto do piątku do godziny 16:00 przyniesie Eddiemu najlepszy trunek – ten wygrywa.
Eddie, znany smakosz, zaprzysięgły alkoholik i pierwszy kutasiarz kolonii, będzie sędzią. Ma wyczulony język i wyjątkowo złośliwe poczucie humoru. A przede wszystkim – nie da się go przekupić. No dobra, to ostatnie to nie.
Teraz wszystko zależy od Ciebie.Może sprowadzić coś z zewnątrz? Może dogadać się z przemytnikami? Może samemu coś zmieszać? Może spróbować sabotażu?
Jedno jest pewne. Jak zwykle, to wina kopacza.</t>
  </si>
  <si>
    <t>Pokręcona sprawa</t>
  </si>
  <si>
    <t>Grupa</t>
  </si>
  <si>
    <t>Tak</t>
  </si>
  <si>
    <t>Dobra, Sarniak sprawa jest prosta. Jest rynek do zagospodarowania, bryłki rudy do zarobienia i szychy do oskubania. Podczas Twojego krótkiego pobytu w Obozie na Bagnie nawiązałeś parę kontaktów z mniej prawomyślnymi członkami Sekty. Teraz, gdy usłyszałeś Eddiego narzekającego na brak bagiennego ziela w przystępnej cenie, wpadłeś w gorączkę złota. Wystarczy namówić paru Nowicjuszy, szczególnie Felixa i Salomona, by wyprowadzili dla Ciebie bagienne ziele, poskręcać je i rozprowadzić po slumsach. Chodźcie bryłeczki do Sarniaczka!</t>
  </si>
  <si>
    <t>Sarniak korzystając ze swoich kontaktów w Obozie na Bagnie chce rozpocząć dystrybucję kiepskiej jakości skrętów w Slumsach. Potrzebuje do tego konkretnego Nowicjusza, który podkradnie odpad z OnB i odsprzeda mu to za drobną sumę. DOprecyzować z Dymkiem</t>
  </si>
  <si>
    <t>Kopacze, Nowicjusze</t>
  </si>
  <si>
    <t>Tytoń i blety (w Onb)</t>
  </si>
  <si>
    <t>Kto blekotem wojuje, od tojadu ginie</t>
  </si>
  <si>
    <t xml:space="preserve">Miałaś ciężki tydzień. Nie dość, że klienci nie zgłaszają się po odbiór towaru i zapłatę za niego, to jeszcze jesteś pewna, że ktoś chciał Cię otruć! Trzy dni temu po powrocie z pracy znalazłaś na swoim posłaniu piękny bukiet z kwiatów. Już prawie wzięłaś go do ręki, by powąchać, gdy spostrzegłaś Orcze Ziele, którego pyłek jest silną trucizną! A Ty się na truciznach znasz. Roślina rośnie na Bagnach, ale Ty podejrzewasz każdego, z kim miałaś do czynienia w ostatnim czasie - szczególnie Kopaczy, na których myszkowanie w okolicy Twojej chaty nikt nie zwróciłby uwagi. Główni podejrzani to Cykuta, gadający od dawna, jakby mieszkał na bagnie, Rudzik znany ze swojej nieprzewidywalności, Nadia, Kopaczka, która któryś raz z kolei nie miała Ci czym zapłacić oraz Sarniak - który niedawno chciał od Ciebie "opłatę za ochronę". </t>
  </si>
  <si>
    <t>Po ciężkim dniu pracy, wracając do swojej kwatery Agrest znalazła bukiet kwiatów leżący na jej posłaniu. Choć najpierw wzbudziło to w niej radość - zważywszy na swoje trucicielskie doświadcznie zorientowała się, że bukiet zrobiony jest z trującego ziela, o tak wielkiej mocy, że wdychanie zapachu jego kwiatów w zamkniętym pomieszczeniu przez dłuższy czas mogłoby się skończyć dla niej groźnie. Poszukuje sprawcy, domniemanego truciciela. Okazuje się, że inna Kopaczka po prostu chciała jej podziękować za pięknie upleciony warkocz, a teraz widząc śledztwo jakie zaczęła kręcić Agrest nie chce się do tego przyznać. Mogą wyjaśnić sobie sprawę i zostać przyjaciółkami... lub wrogami na całe życie.</t>
  </si>
  <si>
    <t>Arcyrozeta (Agrest)</t>
  </si>
  <si>
    <t>Kopacz Kłoda zamówił u Ciebie piękną rozetę, podobno trafić ma ona jako dar dla Magów ognia. Wpłacił pierwszą zaliczkę, robota jest na wykończeniu - ale nie zgłosił się już by wpłacić resztę. Warto go o to zagadnąć - czyżby wiara mu już obrzydła? Albo co gorsza, czyżby NIE MIAŁ CI CZYM ZAPŁACIĆ?!</t>
  </si>
  <si>
    <t>By przypodobać się Magom, Kłoda zamówił u Agrest rozetę, którą chce sprezentować na ołtarz Innosa. Problem jest taki... że zamówił to dawno, a w międzyczasie miał inne wydatki... Dodatkowo sprawą interesuje się Gildia Złodziei.</t>
  </si>
  <si>
    <t>Kopacze, Magowie Ognia</t>
  </si>
  <si>
    <t>Arcyrozeta (Kłoda)</t>
  </si>
  <si>
    <t>Zamówiłeś u Agrest i opłaciłeś zaliczkę za Arcyrozetę - Twój podarunek dla Magów Ognia, który ma zwrócić ich uwagę na pokornego sługę, jakim przecież jesteś! Problem jest taki, że... Nie masz czym zapłacić za resztę. No po prostu źle Ci w kości poszło i jakoś się rozeszło. Jeśli chcesz spełnić swoją obietnicę złożoną przed posągiem Innosa - musisz skołować kasę inaczej. Lub zdobyć gotową rozetę w inny sposób...</t>
  </si>
  <si>
    <t>Rozeta dla Questu</t>
  </si>
  <si>
    <t>Sekret Nolana</t>
  </si>
  <si>
    <t>To, że Nolan lubi sobie wypić, zapalić, czy wciągnąć nosem coś od Bractwa to znany fakt. Zawsze posyłał po coś kopacza Nicholasa, który przychodził do niego z tajemniczą paczką. Cokolwiek to było, Nolan bardzo tego potrzebował. Teraz jednak, odkąd Nicholas zaginął - prawdopodobnie umarł - Strażnik zdawał się być coraz bardziej nerwowy. Dwa dni temu podszedł do Twojego warsztatu i poprosił, żebyś stawiła się u niego w wolnej chwili, bowiem ma dla ciebie specjalne zadanie. Co to może być? Wyglądało na to, że zastąpisz Nicholasa w jakichś nolanowych machlojkach.</t>
  </si>
  <si>
    <t>Inżynieria Stosowana</t>
  </si>
  <si>
    <t>Eureka! - Chciałoby się zakrzyknąć. Masz to. Po miesiącach pracy w sekrecie cienia Slumsów, udało ci się stworzyć Twoja maszynę poprawiającą pracę kopaczy i wydobycie rudy. Teraz trzeba tylko komuś ją pokazać, ale jak dostać się na Zamek będąc zwykłym Kopaczem? Z drugiej strony, cztery dni temu uciąłeś sobie małą pogawędkę z Odumem, który był sztygarem zanim trafił pod barierę. Może wspólnymi siłami coś wymyślicie? Tak, czy inaczej to może być Twoja szansa na awans i wyrwanie się z tej dziury pełnej brył.</t>
  </si>
  <si>
    <t>Maszyna (Dostarcza gracz)</t>
  </si>
  <si>
    <t>Rodzina jest najważniejsza</t>
  </si>
  <si>
    <r>
      <rPr>
        <rFont val="Arial"/>
        <color rgb="FF000000"/>
      </rPr>
      <t xml:space="preserve">Kopalnia zżera ludzi powoli. Warstwa po warstwie. Najpierw ciało – od kręgosłupa po odciski. Potem głos – robi się cichy, wycofany. Na końcu oczy – gasną i zostaje tylko wpatrywanie się w skałę. </t>
    </r>
    <r>
      <rPr>
        <rFont val="Arial"/>
        <color rgb="FF000000"/>
      </rPr>
      <t>Widziałeś</t>
    </r>
    <r>
      <rPr>
        <rFont val="Arial"/>
        <color rgb="FF000000"/>
      </rPr>
      <t xml:space="preserve"> to setki razy. Tę wolę walki, która z początku płonie, a potem, dzień po dni, jest duszona jak niepotrzebny już rodzinie kot. I tak się właśnie czujesz. Miażdżona przez przeklętą codzienność, do której przecież ściągnął cię Twój własny mąż. Nie dajesz mu tego poznać, ale widzisz jak coraz mniej w nim człowieka, gdy zżerany przez własne sumienie próbuje jakoś odbić się od dna, w którym się znaleźliście. Jesteś dla niego wsparciem, czy balastem?
Tak, czy inaczej jakoś trzeba mu pomóc. Jego historia </t>
    </r>
    <r>
      <rPr>
        <rFont val="Arial"/>
        <color rgb="FF000000"/>
      </rPr>
      <t>pisza</t>
    </r>
    <r>
      <rPr>
        <rFont val="Arial"/>
        <color rgb="FF000000"/>
      </rPr>
      <t xml:space="preserve"> się na żywo, na Twoich oczach i oby nie pisała się jego własną krwią. Jedno jest pewne - coś musisz zrobić. Tylko co? Może jakiś eliksir? Może dogadać się za jego plecami ze strażnikami, żeby nieco mu odpuścili? Małe rzeczy, ale dadzą wytchnienie, którego przecież w kolonii nie ma wiele. Chyba, że... to szaleństwo, ale może?
Trzy dni temu podsłuchałaś w karczmie dwóch cieni z bandy klasztornej, którzy rozmawiali o tym, że magowie wody podobno zgubili magiczny pierścień. Jeżeli udałoby ci się go znaleźć, to może taki podarunek pomógłby Cespenarowi wyrwać się z tego kurwidołka? Dodatkowo, Nolan także nosi jakiś dziwny pierścień na palcu - jakby był od niego silniejszy. Te sprawy mogą nie być ze sobą powiązane, ale jakiś artefakt mógłby ułatwić Cespenarowi awans. Albo to, co planuje.</t>
    </r>
  </si>
  <si>
    <t>Pierścień dla Nolana</t>
  </si>
  <si>
    <t>Wątpliwe źródło dochodu</t>
  </si>
  <si>
    <t>Niektórzy ludzie po prostu nie widzą okazji. A te leżą przecież na ziemi - wystarczy tylko się schylić, ubrudzić nieco ręce, a ci wzdrygają się z obrzydzeniem, patrzą krzywo, albo mówią coś o bóstwach. Gdyby bogowie nie chcieli, by ktoś zaglądał do grobów, palili by ludzi przy śmierci, czyż nie? Ty za to w każdym trupie dostrzegasz interes. To, co zabierają ze sobą do grobu nikomu się przecież już nie przyda. No - nikomu poza tobą. Trzy dni temu widziałaś takich dwóch przy cmentarzu. Wyszli za daleko od starego obozu i - cóż - coś ich rozorało. Tak paskudnie, że nawet mag ognia odprawiający pochówek wydawał się być w szoku. Wybebeszeni, wyjedzone wnętrzności - nic dla ludzi o słabych nerwach. Jeden z nich, ten niższy, wciąż miał na sobie całkiem przyjemną błyskotkę. Gdyby tylko był jakiś sposób by położyć na niej łapę...</t>
  </si>
  <si>
    <t>Błyskotka</t>
  </si>
  <si>
    <t>Podatki!</t>
  </si>
  <si>
    <t>Interes naprawdę idzie nieźle - zakwas wyszedł i piwko sprzedawało się jak świeże bułeczki. Mówiąc szczerze, byłoby jeszcze lepiej gdyby nie Sarniak i jego banda. Ostatnio znowu mówili coś o jakieś opłacie, czy podatkach od ochrony w slumsach. Na domiar złego, Nolan też zapatruje się na te interesy od których ruda nie płynie do króla - chociaż oczywiście bardziej chodzi mu o to, że nie płynie do niego. Trzeba jakoś uporządkować te interesy - może nasłać ich na siebie? Albo zyskać jeszcze inne plecy? No, ewentualnie po prostu płacić, ale przecież nikt nie chce się żegnać z rudą za frajer.</t>
  </si>
  <si>
    <t>Dwa ruchy do przodu</t>
  </si>
  <si>
    <t>Życie donosiciela, to piękne życie. No, przynajmniej dopóki cię nie złapią, ale tobie się to jeszcze nie przytrafiło. Właśnie obserwowałeś jak jakiś kopacz dostaje publiczne razy pałką strażniczą, bo "ktoś" podszepnął władzy, że wynosi esencję z kopalni w swojej skarpecie. Piwo kupione za te bryłki smakowało wybitnie, chociaż nie było z górnej półki. Karczma to jednak nie tylko miejsce topienia smutków i celebrowania małych zwycięstw, ale i świetny punkt do zdobycia informacji. Usłyszałeś, że Stone przygotowuje pancerze na zbliżający się transport dóbr do króla. Okazja na rabunek jakich mało i chociaż ty oczywiście nie napadniesz na konwój, to znasz kogoś, kto chciałby to zrobić. Ten pijany strażnik, który puścił parę i rozwiązał mu się język twierdził, że Nowy Obóz nie da rady przechwycić towarów, ponieważ wybrali aż trzy różne ścieżki, dwie z udawaną przesyłką, żeby zmylić tropy i wystrychnąć na dudka agresorów. Cóż, jesteś pewien, że gdyby jakiś ptaszek dowiedział się którędy pójdzie prawdziwy konwój, narysował mapę tej trasy i przedstawił ją Aidanowi, szefowi szkodników z Nowego Obozu, to nagroda by go nie ominęła, a może nawet zasłużyłby na tytuł kapusia roku. Chociaż łatwo nie będzie, to brzmi kusząco, hm?</t>
  </si>
  <si>
    <t>Z zaświatów (Skazańcy)</t>
  </si>
  <si>
    <t>Jesteś tu. Wśród bandytów, przestępców i morderców. Czy naprawdę tu jest Twoje miejsce? Sumienie gryzie cię każdego dnia, nie mówiąc już o nocnych koszmarach, w których prześladuje cię dudnienie w kopalni tuż przed tąpnięciem. Siedząc w kącie slumsów, zapijając kolejne czarne myśli o duszach umarłych przez twój błąd, usłyszałeś rozmowę dwóch kopaczy. Jeden z nich cieszył się jak dziecko, że wraz z kolejnym zrzutem skazańców dostał list od rodziny. Natychmiast poczułęś tęsknotę za żoną i dziećmi. Może istniałby sposób na to, by się z nimi skontaktować? Upewnić, że wszystko u nich dobrze.
Co więcej, w ich rozmowie padło kilka imion, które kojarzysz ze swojej kopalni, między innymi Moriona - polityka z Trelis, który nagłaśniał wypadek na Archolos, żeby obniżyć kurs skupowanego stamtąd złota. Czy to możliwe, że grzechy przeszłości postanowiły dopaść cię nawet tutaj, pod Barierą? A może wręcz przeciwnie, może w końcu będziesz w stanie się z nimi skonfrontować? Podobno istnieją ludzie, którzy potrafią przemycić towary na zewnątrz.</t>
  </si>
  <si>
    <t>List od rodziny</t>
  </si>
  <si>
    <t>Nietypowe poparcie (Rez)</t>
  </si>
  <si>
    <t>Dostać się od razu do straży nie jest łatwo. Ale też nie jest to możliwe, co widać chociażby po niegdysiejszym brygadziście pierwszej brygady - Vargu. Czy można sprzymierzyć się z wrogiem, by docisnąć kolejnego wroga? Moralne ścieżki zawiodły Cię dokładnie na to pytanie. Otóż Nolan jest, nie da się ukryć, strażnikiem. A poparcie strażnika, zwłaszcza takiego, który odpowiada bezpośrednio przed Thorusem może wiele znaczyć. Okazja za to nadażyła się sama. Kopiąc blisko wejścia do kopalni na wczorajszej szychcie usłyszałeś Nolana, który mówił, że jeżeli ktoś przyniesie mu ucho orka, to zaklina się na Innosa, że powie o takim kopaczu dobre słowo Thorusowi, który jak wiadomo jest jego najlepszym przyjacielem. Pewnie jak zwykle przechwalał się na wyrost, ale trochę prawdy w tym być musi. Chociaż z drugiej strony, czy ktoś ufał w tym miejscu Nolanowi?</t>
  </si>
  <si>
    <t>Nietypowe poparcie (Hiram)</t>
  </si>
  <si>
    <t>Kopacz kopaczowi wilkiem</t>
  </si>
  <si>
    <t>W Kolonii przeżywa ten, który znajdzie sobie niszę. Ten, kto wyróżni się sposobem na siebie i dotrze na ten szczyt szybciej niż ktokolwiek inny. Trudno powiedzieć, żeby w kwestii wyzyskiwania innych kto inny był na szczycie niż ty i Ligon. W czasach gdy wszyscy kopacze trzymają się razem nader łatwo być tym, który wykorzysta system i swoją siłę. Wśród tych pogodnych, przyjaznych owiec jesteście jak wilki, które w końcu dopadły stado, a slumsy tylko w tym pomagają. W końcu wszyscy rzemieślnicy i wyrobnicy przenieśli się tutaj, wychodząc spod protekcji strażników. No i pewnie przydałaby się ochrona, za którą muszą zapłacić - biznes doskonały. Zostało tylko wymusić ten haracz za ochronę. Wiecie na pewno o trzech - Zek, który sprzedaje podpiwek. Marta, krawcowa. Oraz tworząca precjoza Agrest. Ale na pewno znajdzie się też ktoś inny, kto będzie chciał protekcji takich dwóch dżentelmenów jak wy.</t>
  </si>
  <si>
    <t>W Kolonii przeżywa ten, który znajdzie sobie niszę. Ten, kto wyróżni się sposobem na siebie i dotrze na ten szczyt szybciej niż ktokolwiek inny. Trudno powiedzieć, żeby w kwestii wyzyskiwania innych kto inny był na szczycie niż ty i Sarniak. W czasach gdy wszyscy kopacze trzymają się razem nader łatwo być tym, który wykorzysta system i swoją siłę. Wśród tych pogodnych, przyjaznych owiec jesteście jak wilki, które w końcu dopadły stado, a slumsy tylko w tym pomagają. W końcu wszyscy rzemieślnicy i wyrobnicy przenieśli się tutaj, wychodząc spod protekcji strażników. No i pewnie przydałaby się ochrona, za którą muszą zapłacić - biznes doskonały. Zostało tylko wymusić ten haracz za ochronę. Wiecie na pewno o trzech - Zek, który sprzedaje podpiwek. Marta, krawcowa. Oraz tworząca precjoza Agrest. Ale na pewno znajdzie się też ktoś inny, kto będzie chciał protekcji takich dwóch dżentelmenów jak wy.</t>
  </si>
  <si>
    <t>Cienie Przeszłości</t>
  </si>
  <si>
    <t>Zawsze wiedziałeś, że nie jesteś od ciężkiej roboty. Masz za delikatne dłonie, za sprytne palce i za giętki język. Nie musisz podnosić kilofa, żeby dostać to, czego chcesz — wystarczy dobrze popatrzeć, dobrze powiedzieć, dobrze przemilczeć. No i mieć kogoś, kto podbije, gdy trzeba uderzyć. Wąski był właśnie od tego. Twój brat, twój cień, twój głos, gdy było trzeba coś przycisnąć, a ty wolałeś zostać z tyłu i wyglądać na tego, który „tylko rozmawia”. Lojalny jak pies z jednym okiem i głupi jak ten sam pies po tym jak przypierdolił w ścianę.
Stary Obóz wziął cię chętnie. Tacy jak ty są potrzebni. Potrafisz się przymilić. Podsunąć przysługę. Zrobić coś "między słowami". Cień nie musi zabijać, czasem wystarczy, że mówi, komu warto umrzeć. A ty mówiłeś i przez chwilę naprawdę byłeś kimś. Siedziałeś przy ogniu z tymi, których jeszcze wczoraj wszyscy się bali. Łykałeś ich wino, śmiałeś się z ich żartów. Patrzyłeś, jak patrzą na ciebie jak na swojego. A potem, jak to zwykle bywa — ktoś poczuł się okradziony. Ktoś powiedział za dużo. Komuś zabraliście coś zbyt cennego. Pozwoliliście sobie na zbyt wiele i w rezultacie ktoś... doniósł.
I nagle znów byłeś tylko śliskim gnojkiem z dobrym gadaniem. Ale już bez ochrony. Wąski uciekł. Ty zostałeś. Degradacja. Przeklęty Kopacz - znowu. Znowu te same schody, te same stopnie, po których trzeba się znowu wspiąć. Tylko tym razem wiesz kto to zrobił, kto sprawił, że Twoje życie stoczyło się jak kawał sera po kopalnianym wzgórzu wprost na jej dno. Tchórzliwy cień o długich palcach i dłuższym języku. Ten, który z tobą pił, ale nigdy nie dzielił się chlebem. Ten, który zawsze wiedział, z której strony powieje wiatr i jak obrócić się do niego zadem. Karaluch. I może teraz śmieje się z was w cieniu strażniczego namiotu? I co jeśli okaże się, że cienie przeszłości mają w dłoniach długie noże?
Przecież został ci jeden lojalny człowiek - Marcus Igła. Ten, który nie zostawi cię na pewno na lodzie, nie odwróci się tak jak reszta tej chałastry, gdy tylko powinie ci się noga i spadniesz z konia. Zostawili cię? Zapomnieli o tobie? Zobaczymy kto będzie śmiał się ostatni. Bo w Starym Obozie nie chodzi o siłę. Tu liczy się to, kto dłużej pamięta i mocniej pragnie zemsty. A ty jeszcze nigdy niczego nie pragnąłeś w życiu tak bardzo jak rozdeptać kilka robaków.</t>
  </si>
  <si>
    <t>Zwinne Ręce</t>
  </si>
  <si>
    <t>W Starym Obozie rządzą silni.
Ale siła to nie tylko mięśnie. Czasem to dłoń, która zniknie w tłumie, a po chwili pojawia się z czymś, co nie należy do niej. Siła to informacja wyciągnięta z sakiewki. To nóż, który znika, zanim ktoś poczuje jego brak. To uśmiech, który pojawia się na twarzy, gdy strażnik przeszuka cię trzy razy i dalej nic nie znajduje. Właśnie teraz zaczyna się gra między tymi, którzy twierdzą, że są najlepsi. Plotka głosi, że kto się wyróżni tego czeka nagroda. A ty przecież masz zwinne ręce i smykałkę do tego, co nie twoje. Nikt ci nie da zgody. Nikt nie będzie cię bronił, jeśli cię złapią. Ale jeśli się uda… na pewno pójdzie to dalej.
I pamiętaj: W Starym Obozie liczy się, kto bierze, a nie kto prosi.</t>
  </si>
  <si>
    <t>A worthy deal</t>
  </si>
  <si>
    <t>There’s more than just ore flowing through the veins of the mine. Szikra has been in the pit long enough to know that if you wait for Gomez’s generosity, you die waiting. So she started making her own arrangements — quiet, careful, and profitable. First it was a few herbs for a friend. Then a pouch of spice. Now, it’s pickaxes, ore samples, lamp oil, even stolen reports from overseers. And on the other side of the tunnel?
The New Camp. Rogues, outlaws, and water mages who don’t care about Gomez or his rules — only results. They pay well and ask few questions. One of them — name whispered only as Simlis — wants regular shipments. More than Szikra can smuggle alone. But here’s the thing: People are starting to notice. A crate that goes missing. A guard who “didn’t see anything.” A few coins too many in Szikra’s pocket. The Old Camp doesn’t forgive disloyalty — especially not if it smells like cooperation with the rebels in the swamp</t>
  </si>
  <si>
    <t>An unworthy deal</t>
  </si>
  <si>
    <t>You never said much. Kept your head down, swung your pickaxe, laughed when it was safe to, and stayed the hell away from trouble. That’s how you survived this long in the Old Camp — by staying out of things that didn’t concern you.
But Szikra concerns you. She’s smart. Too smart for the mines. She doesn’t say much either, but you've seen the look in her eyes lately — sharp, hungry, restless. She’s up to something. And not just small stuff. There are whispers. Last time in the tavern overheard two women, miners - one of them wearing red bandana, talking about her. That she’s getting bold. Too bold.
You know what happens to people who get bold in the Old Camp. First you disappear from the shift roster. Then you disappear from the mine. You don't want that for her. After all, she's your friend. You don't want anything from her, really — not credit, not thanks. Just to keep her breathing. Just to make sure she’s still swinging a pickaxe in a month, even if it means convincing her to quit while she can.
But pulling her out means stepping in. And stepping in means getting involved — maybe for the first time in your life.</t>
  </si>
  <si>
    <t>A storm in the teacup</t>
  </si>
  <si>
    <t>You know what a real bloodshed looks like. You've seen one — before you ended up down here, swinging steel at stone. Back then it started just like this: a few whispered names, a few bruises that didn’t come from falling rocks, and a whole lot of silence when the guards passed by. And then suddenly, everything was on fire.
You feel it again now. It’s in the eyes of the other miners. The long shifts. The missing rations. The cruelty that stopped being casual and turned into sport. It’s in the way someone said, "We can outnumber them, you know." And nobody laughed.
Some of them are planning something. A hit. Small, surgical. One guard, isolated. Just a message. They think if they do it quietly, it won’t explode. But you know better — violence in the Old Camp is like sparks near dry powder. You also know this:
If the guards find out before something happens, the punishment will be brutal and wide. They won’t care who swung the blade. They'll just tighten the leash on everyone. Szikra, Pocak, even the kids on the lower levels — they’ll all bleed for it.
So you have to act. Quietly. Carefully. Without being seen as a snitch. You need to misdirect. Distract. Delay. Or stop it before it starts.
Because this isn’t justice. This is a storm in a teacup. And when it spills over, it’ll drown the wrong people.</t>
  </si>
  <si>
    <t>Pszczółki i Niedźwiedzie</t>
  </si>
  <si>
    <t>Piwo można czasem wypić. Wódka to dla Cieni i ludzi bez wyobraźni. Bagienne ziele? Czasem, jak trzeba uciec myślami – ale ty nie uciekasz. Ty szukasz. A czego szukasz? Miodu pitnego. Nie byle jakiego trunku. To słodycz, która rozpływa się po języku, rozgrzewa żołądek, a w głowie zostawia coś więcej niż szum – wspomnienie dawnych dni. W świecie za murami może byłeś nikim, ale miód pitny przypomina ci, że kiedyś było lepiej. Ciepło. Prawdziwie. A teraz… teraz słyszałeś coś. Niepewne słowo przy ognisku, gdy na środku Starego Obozu wszyscy stają się tacy sami - więźniami Kolonii. Cień z rozkojarzonym wzrokiem rzucił: „Eddy na pewno ma zapas. Albo zna kogoś, kto ma. Ale nie za rudę, nie… za przysługę.”
I od tamtej pory nie możesz spać. Słodki zapach siedzi ci w głowie jak klątwa. Kręcisz się, podpytujesz, łazisz po zakamarkach jak niedźwiedź w ulu. Każdy, kto wspomni choćby o czymś złocistym, ma twoją pełną uwagę. Zrobisz wiele, by zdobyć choć flaszkę. Może za dużo. A przecież to tylko miód, prawda?</t>
  </si>
  <si>
    <t>5 butelek miodu pitnego (Ogarnia gracz)</t>
  </si>
  <si>
    <t>I zbaw nas ode złego</t>
  </si>
  <si>
    <t>Nie ufasz magii. Nie od razu – nie z przesądów, nie z opowieści. Ale odkąd cię spaliło, od kiedy skóra na twarzy wygląda jak pognieciona blacha, a ból budzi cię nawet w kopalni… wiesz jedno: Magia jest nieprzewidywalna. A ty nie masz żadnego sposobu, by się przed nią obronić. Nie pytasz, kto rzucił ogień. Wiesz, że to był przypadek – może strażnik, może jakiś nowicjusz od ognia, może nawet ktoś z Nowego Obozu. Ale ogień to ogień. Nie prosi o pozwolenie. Od tamtej pory czujesz, jak cię śledzi. Ogniste kule, błyski, szaleństwo magów… Jeden kaprys i znowu możesz czuć swąd własnej, topniejącej skóry i widzieć jak płatami odchodzi od czaszki.
Chcesz tarczy. Nie z metalu – z wiedzy. Z run, z rytuału, z czegokolwiek, co może cię uchronić, jeśli magia znowu zacznie sięgać zbyt blisko. Może Magowie Wody mają coś – księgę, urok, zaklęcie ochronne. Ale nie rozdają takich rzeczy byle komu. A ty jesteś tylko górnikiem. Więc musisz zasłużyć. Albo zapłacić. Albo… zdobyć siłą. Słyszałeś, że mag Eridan często pojawia się w Starym Obozie i rozmawia z podobnymi tobie wyrzutkami losu. Może od niego warto zacząć?</t>
  </si>
  <si>
    <t>Czarna Szychta (R)</t>
  </si>
  <si>
    <t>"Ile razy ktoś może powiedzieć, że pod Barierą mu się przyfarciło? Ty i Merik na pewno. Niedawno dokopaliście się do złoża rudy tak czystego, że jego niebieskie światło niemal was oślepiło. Fedrowaliście jak najszybciej, byleby wynieść jak najwięcej zbawiennego kruszca. Może trochę zbyt szybko? Ze zbytnim zaangażowaniem? Nie zauważyliście pełzacza, zwabionego odgłosami kilofa stukającego czysto w złoże. Zorientowaliście się o jego obecności dopiero gdy trafiłeś go ostrzem w odnóże. Dziki wizg przeszył powietrze kopalni i nie było do końca jasnym, czy głośniej darł się pełzacz, czy wy w przerażeniu. Tylko łasce Innosa zawdzięczacie fakt, że udało wam się wtedy uciec. Ranny pełzacz w szale miotał się po chodniku, naruszając podpory i częściowo go zawalając. Chodnik, na podstawie ich wyjątkowo nieskładnego raportu, został uznany za “zbyt niebezpieczny” i oznaczony jako nie przeznaczony do fedrowania.
Ale wy nie mogliście zapomnieć o tym blasku, który przypominał błogosławieństwo Adanosa. Przysięgaliście sobie nikomu nie zdradzić tej tajemnicy i ty dotrzymałeś swojej części układu. Ale Merik uznał, że potrzeba wam więcej ludzi i się wygadał swojemu, niby dobremu, kompanowi - strażnikowi, Szczerbie. Szczerba, jako człowiek obrotny, od razu nakręcił plan i wciagnął kilku swoich kamratów - Dukata, Cynę i Maćka. Ty zgodziłeś się od razu, ale Rudzika musieli trochę maglować. Plan jest prosty - oni zorganizują z łapanki jakichś frajerów do kopania, ty i Rudzik przekażecie im wiedzę jak robić to poprawnie, a potem będziecie się pławić w rudzie, której nikt nigdzie nie zgłosi. Której nikomu nie trzeba będzie oddawać. Początek przebiegał dobrze. Polowanie na Skazańców zakończyło się powodzeniem, a cała grupa spiskowców, wraz z narzędziami, skutecznie przeniknęła nocą do kopalni bez wzbudzania niepotrzebnej uwagi. Eddy nieco marudził na żądanie nocnego otwarcia, ale garść bryłek skutecznie odwróciła jego uwagę i zniechęciła go do dalszego drążenia tematu.  Problemy zaczęły się na miejscu. Skazańcy, odkopujący chodnik, byli wyjątkowo mało skutecznymi pracownikami i wymagali wielu zachęt ze strony nadzorujących ich Strażników, a i tak przy ostatecznym przekopywaniu pracowali niemal wszyscy obecni w kopalni, niezależnie od klasy. Drugim problemem okazał się Pełzacz. Jak się okazało, te istoty mają całkiem dobrą pamięć, zwłaszcza do tych, którzy nadepną im na odcisk, tak metaforycznie, jak i literalnie. Potwór powitał kopiących z dzikim wizgiem, który ktoś obeznany w mowie pełzaczy mógłby przetłumaczyć na “O wy cwele, ja was znam! Wiedziałem, że wrócicie!” i z miejsca rzucił się do ataku. Pierwszych dwóch skazańców niemal wyparowało w krwawej mgiełce, a przez krzyk przerażonych ludzi ledwo przebił się ryk Szczerby, wzywającego wszystkich do odwrotu. Udało wam się uciec tylko dlatego, że porzuciliście resztę skazańców jako pokarm dla Pełzacza.
Gdy już jednak zatrzasnęliście za sobą wrota, za którymi powoli milkły okrzyki pożeranych skazańców w głowie miałeś jedną myśl - “Na Beliara, to był czysty kretynizm, nigdy więcej”. Ale nie, oni chcieli podejść do tego raz jeszcze, w Czwartek o 22:00. Wiesz też, że nie możecie tkwić tam zbyt długo - po pierwsze pełzacze mogą was zaatakować nawet grupą, a po drugie szyb jest bardzo niestabilny i grozi zawaleniem. Pół godziny może da radę, trzy kwadranse to już niebezpieczne, a godzina to już prawie samobójstwo - poza tym z każdą minutą rośnie zagrożenie, że ktoś was nakryje. Strażnicy mieli znowu załatwić kogoś do Kopania, a przy okazji i do ochrony przez Pełzaczem. Wy - mieliście przyjść z wiedzą. Po Święcie Kilofa w slumsach powinien zapaść napędzony alkocholem spokój, umożliwiający bezproblemowe wprowadzenie grupy spiskowców do kopalni i rozpocznie się wasza Czarna Szychta.
Tylko, czy na pewno to dobry pomysł? Nie chcesz stawiać się czterem strażnikom, ale nie chcesz też zdechnąć jak pies przy nielegalnym wydobyciu. Nie mówiąc już o tym, że jeśli ktoś na Zamku się dowie, jeśli Gomez się dowie... cóż, nie możecie liczyć na łaskę. Nie możesz też się ot tak po prostu wygadać, bo siedzisz w tym po łokcie i i tak zostaniesz uznany winnym. Jeżeli chcesz się wykręcić, trzeba to zrobić w jakiś sprytny sposób. Wiesz, że ci idioci nie odpuszczą i będą tam schodzić aż nie wykopią sobie dodatkowej rudy. Ty musisz zadecydować, czy to dobry pomysł, czy będziesz próbował jakoś się wykpić.</t>
  </si>
  <si>
    <t>Czarna Szychta (M)</t>
  </si>
  <si>
    <t>Ile razy ktoś może powiedzieć, że pod Barierą mu się przyfarciło? Ty i Rudzik na pewno. Niedawno dokopaliście się do złoża rudy tak czystego, że jego niebieskie światło niemal was oślepiło. Fedrowaliście jak najszybciej, byleby wynieść jak najwięcej zbawiennego kruszca. Może trochę zbyt szybko? Ze zbytnim zaangażowaniem? Nie zauważyliście pełzacza, zwabionego odgłosami kilofa stukającego czysto w złoże. Zorientowaliście się o jego obecności dopiero gdy Rudzik trafił go ostrzem w odnóże. Dziki wizg przeszył powietrze kopalni i nie było do końca jasnym, czy głośniej darł się pełzacz, czy wy w przerażeniu. Tylko łasce Innosa zawdzięczacie fakt, że udało wam się wtedy uciec. Ranny pełzacz w szale miotał się po chodniku, naruszając podpory i częściowo go zawalając. Chodnik, na podstawie ich wyjątkowo nieskładnego raportu, został uznany za “zbyt niebezpieczny” i oznaczony jako nie przeznaczony do fedrowania.
Ale wy nie mogliście zapomnieć o tym blasku, który przypominał błogosławieństwo Adanosa. Przysięgaliście sobie nikomu nie zdradzić tej tajemnicy, ale ty wiedziałeś, że potrzeba planu. I potrzeba ludzi, ludzi którzy mogą coś w tym obozie. Dlatego po paru piwkach zdecydowałeś się wtajemniczyć swojego druha, podzielającego Twoje poglądy o tym, że nie warto żyć w biedzie - Szczerbę. Szczerba, jako człowiek obrotny, od razu nakręcił plan i wciagnął kilku swoich kamratów - Dukata, Cynę i Maćko. Ty zgodziłeś się od razu, ale Rudzika musieli trochę maglować. Plan jest prosty - oni zorganizują z łapanki jakichś frajerów do kopania, ty i Rudzik przekażecie im wiedzę jak robić to poprawnie, a potem będziecie się pławić w rudzie, której nikt nigdzie nie zgłosi. Której nikomu nie trzeba będzie oddawać. Początek przebiegał dobrze. Polowanie na Skazańców zakończyło się powodzeniem, a cała grupa spiskowców, wraz z narzędziami, skutecznie przeniknęła nocą do kopalni bez wzbudzania niepotrzebnej uwagi. Eddy nieco marudził na żądanie nocnego otwarcia, ale garść bryłek skutecznie odwróciła jego uwagę i zniechęciła go do dalszego drążenia tematu.  Problemy zaczęły się na miejscu. Skazańcy, odkopujący chodnik, byli wyjątkowo mało skutecznymi pracownikami i wymagali wielu zachęt ze strony nadzorujących ich Strażników, a i tak przy ostatecznym przekopywaniu pracowali niemal wszyscy obecni w kopalni, niezależnie od klasy.
Drugim problemem okazał się Pełzacz. Jak się okazało, te istoty mają całkiem dobrą pamięć, zwłaszcza do tych, którzy nadepną im na odcisk, tak metaforycznie, jak i literalnie. Potwór powitał kopiących z dzikim wizgiem, który ktoś obeznany w mowie pełzaczy mógłby przetłumaczyć na “O wy cwele, ja was znam! Wiedziałem, że wrócicie!” i z miejsca rzucił się do ataku. Pierwszych dwóch skazańców niemal wyparowało w krwawej mgiełce, a przez krzyk przerażonych ludzi ledwo przebił się ryk Szczerby, wzywającego wszystkich do odwrotu. Udało wam się uciec tylko dlatego, że porzuciliście resztę skazańców jako pokarm dla Pełzacza.
Gdy już jednak zatrzasnęliście za sobą wrota, za którymi powoli milkły okrzyki pożeranych skazańców, wszyscy mieli w głowie jedną myśl. I nie było to “Na Beliara, to był czysty kretynizm, nigdy więcej”. Przecież na moment przed atakiem pełzacza szychta dokopała się do swojego celu. I przez kilka krótkich chwil wszyscy w niemym zachwycie wpatrywali się w olbrzymi głaz najczystszej, opalizującej niebiesko rudy. I ten blask wyrył się w waszych głowach na tyle mocno, że pierwszym zdaniem, jakie wybrzmiało przed zatrzaśniętymi drzwiami kopalni było “trzeba się do tego zabrać nieco inaczej”. Postanowiliście, że spróbujecie raz jeszcze, w Czwartek o 22:00. Wiesz też, że nie możecie tkwić tam zbyt długo - po pierwsze pełzacze mogą was zaatakować nawet grupą, a po drugie szyb jest bardzo niestabilny i grozi zawaleniem. Pół godziny może da radę, trzy kwadranse to już niebezpieczne, a godzina to już prawie samobójstwo - poza tym z każdą minutą rośnie zagrożenie, że ktoś was nakryje. Strażnicy mieli znowu załatwić kogoś do Kopania, a przy okazji i do ochrony przez Pełzaczem. Wy - mieliście przyjść z wiedzą. Po Święcie Kilofa w slumsach powinien zapaść napędzony alkocholem spokój, umożliwiający bezproblemowe wprowadzenie grupy spiskowców do kopalni. To jest wasza noc. Wasza szansa na zdobycie prawdziwego bogactwa. Rozpoczyna się wasza Czarna Szychta.
Oby tylko Rudzik nie puścił pary, bo wydawał się nieco miękki w nogach i cichy na wspomnienie o ponownej próbie. Jeżeli ktoś doniesie na Zamek i Gomez się o tym dowie... cóż, powiedzmy, że nie macie co liczyć na łaskę.</t>
  </si>
  <si>
    <t>Stare grzechy, nowy obóz</t>
  </si>
  <si>
    <t>To miał być jeden skok. Co prawda nie zgadzałeś się z użyciem zatrutej broni, która przecież powodowała śmierć w męczarniach, ale tak czy siak plan brzmiał dobrze. Łatwe wejście, szybkie łupy, cichy odwrót. Ty po prostu nie wziąłeś tych sztyletów, które sobie rozdawali, ale i tak wszystko miało pójść jak z płatka. Tak mówili. Tak planowali. Tak było – do momentu, gdy ktoś spanikował, ktoś zginął, a ty skończyłeś za tymi murami. Sam. I przez te wszystkie miesiące myślałeś, że jesteś jedynym ocalałym. Aż trafiłeś na Nowy Obóz. Nie byłeś tam długo. Zaniesienie listu Homerowi, krótki kontakt z kimś od Wodnych Magów. Wystarczył jednak jeden głos w cieniu namiotu, żeby rozpoznać dwójkę dawnych wspólników. Blacha i Belgos. Oni przeżyli. Oni też tu trafili. I – co więcej – oni dobrze się mają. 
Ale to nie wszystko. Znowu coś planują. Coś większego. I może cię w to wciągną? Mówią o drugiej szansie. O wyrwaniu się spod buta Starego Obozu. O prawdziwej wolności. I właśnie tu się zaczyna problem. Bo w Starym Obozie może cię nikt nie kocha, ale przynajmniej wiesz, czego się spodziewać. A Nowy Obóz? Nowy Obóz to wolność, która kosztuje.I jeszcze to pytanie, które wraca każdej nocy: Czy jesteś tym samym człowiekiem, co wtedy, przy tamtym ogniu, z bronią w dłoni i cudzą rudą w kieszeni?</t>
  </si>
  <si>
    <t>Ściany mają uszy, a kopacze pięści</t>
  </si>
  <si>
    <t>Nie chciałeś wsypać nikogo. To miała być tylko rozmowa. Ostrzeżenie. Ale straż miejska nie słucha ostrzeżeń – oni działają. I zanim zdążyłeś się połapać, cały wasz układ poszedł się jebać, a ty razem z nim. Przez wyrzuty sumienia, przez bycie dobrym człowiekiem pociągnąłeś na dno całą ekipę. Orlando nie wie. Dalej myśli, że byłeś po prostu pechowym uczestnikiem całej akcji. Że trzymałeś się z boku. I dobrze ci z tym. Bo Orlando to jedyny, komu tu jeszcze ufasz. Kto jeszcze patrzy na ciebie jak na człowieka.
Z waszej trójki został jeszcze Umiar. To on był odpowiedzialny za rozprowadzenie towaru z twoich rybnych beczek. Zawsze cię podejrzewał o bycie szpiclem. I teraz ma miałby pełne prawo się mścić. Całe szczęście zawieruszył się gdzieś przy całej akcji. Bo gdyby tu był, można by się bać, że Umiar coś powie. Że zacznie szeptać, wbijać klin, kręcić ludzi przeciw tobie. A wtedy nie zostanie ci już nikt. A w tej jebanej kopalni lepiej być z kimś niż przeciw wszystkim.</t>
  </si>
  <si>
    <t>Wielkie łowy</t>
  </si>
  <si>
    <t>Nie każdy kopacz chce do końca życia dłubać kilofem w skale. Ty – chcesz czegoś więcej. Ciszy lasu. Zapachu krwi. Świeżego mięsa zamiast zgniłych resztek. Chcesz dołączyć do myśliwych. To nie strażnicy, nie cienie, nie magowie. Ale ci, którzy znają las, mają wiedzę i wolność, na którą inni mogą tylko patrzeć z dołu szybu. I właśnie dlatego nie przyjmują byle kogo. Wiesz, że musisz się im przypodobać. Przynieść coś. Zrobić coś. Pokazać, że masz w sobie więcej niż tylko siłę ramion. Że potrafisz myśleć. Tropić. Czekać. Że jesteś jednym z nich — nawet jeśli jeszcze nie masz łuku, nie znasz sekretów pułapek, ani nie wiesz, czym pachnie ślad rudy dzikiego ścierwojada. Ale oni wiedzą. I jeśli cię zaakceptują, jeśli uznają, że jesteś wart tej wiedzy — może podzielą się techniką, może nauczą, jak polować na prawdziwe bestie, nie tylko na robactwo w kopalni. Pytanie tylko, ile jesteś gotów dać, żeby zasłużyć. I czy wytrzymasz próbę, zanim któryś ścierwojad uzna, że to ty jesteś zwierzyną.</t>
  </si>
  <si>
    <t>Przyjaciel, czy wróg?</t>
  </si>
  <si>
    <t>Z Bronem przeszedłeś przez ogień. Nie jeden przemycony pakunek, niejedną noc w napięciu, gdy straż kręciła się zbyt blisko. Nie robiliście tego sami — Umiar był twarzą całej operacji. Sprzedawał ryby, a w nich to, co naprawdę miało wartość: zioło od Gravena. Dobrze działało. Dobrze szło. I może nadal byście to ciągnęli… Gdyby nie wsypa. Straż uderzyła szybko. Zbyt szybko. Jakby ktoś powiedział za dużo, we właściwym momencie. Ty i Bron zostaliście złapani razem. Umiar gdzieś zniknął, jak to on, a o Gravenie nie słyszałeś od tamtej pory. Teraz jesteście tu, w pierdolonej Kolonii.
Bron od jakiegoś czasu dziwnie się zachowuje. Mniej mówi. Unika wzroku. Przerywa rozmowy, gdy się zbliżasz. Jakby coś chciał ukryć. Albo jakby coś podejrzewał. Bo przecież nie wiedział, że te ryby bez kwitów tak naprawdę niosły ze sobą towar od Gravena. A jeśli wie? Jeśli wasza przyjaźń wisi na włosku? A może to wszystko ci się tylko wydaje? Może za długo siedzisz w tej jebanej kopalni i już sam nie wiesz, kto przyjaciel, a kto wróg? I kogo o co podejrzewać?</t>
  </si>
  <si>
    <t>Niezłe ziółko</t>
  </si>
  <si>
    <t>W kopalni nie da się żyć tylko rudą i gniewem. Trzeba jeść. A żeby jeść, ktoś musi gotować. Kucharz z obozowej kuchni szuka pomocy przy zbieraniu ziół, które dodaje do posiłków — nie dla smaku, ale po to, żeby "żołądki wam się nie skręcały jak pijańskie sumienie". W teorii chodzi o zwykłe zioła: mięta, korzeń ognisty, może trochę jagód. W praktyce… może się okazać, że lista jest dłuższa, niż myślałeś. Kucharz ma swoje ścieżki i swoje kaprysy. Niektóre zioła rosną tuż za palisadą. Inne – bliżej lasu, gdzie czasem coś patrzy z krzaków. Ale jeśli mu pomożesz – możesz liczyć na lepszy posiłek, ciepłe słowo i może nawet coś ekstra. Może nawet zrozumiesz, że to nie tylko o zioła chodzi. Bo w kuchni, jak w życiu – wszystko ma swój smak i swoje sekrety.</t>
  </si>
  <si>
    <t>Zioła do zebrania</t>
  </si>
  <si>
    <t>Skarb Śledziowego Barona</t>
  </si>
  <si>
    <t>Każdy w Kolonii słyszał o Śledziowym Baronie. O tym, któremu los bliźniego nie był obojętny. Jedni prychali z wzgardą na to miano, inni powtarzali je z szacunkiem. Mówią, że pomagał biedakom, zostawiając monety, kartki, rudę – ukryte w śledziach z kuchni lub paczkach z dostaw. Znikały, zanim ktoś się połapał. Zostawała tylko ryba i cień nadziei, że w tym zasranym miejscu ktoś jeszcze ma serce.
Aż w końcu go złapali. Wiadomo było co go czeka - publiczna egzekucja. Jako przykład. Jako przestroga. Za pomoc biedocie. Za bunt przeciwko porządkowi Magnatów. Za próbę zrobienia czegoś… innego. Mówi się jednak, że nie działał sam. Że miał wspólnika – cichego, niewidocznego, sprytnego. I że ten drugi nadal tu jest. Gdzieś pod Barierą czeka na tych, co naprawdę potrzebują pomocy. Na tych, co wiedzą, jak zapytać. Podobno wystarczy tylko znaleźć odpowiedniego człowieka i poprosić go o „bardzo specjalną rybę.”
Tylko że problem jest taki - to może być każdy. Kucharz. Kopacz. Starzec pod ścianą. I nie masz pewności, czy jak źle trafisz, nie wylądujesz z nożem w żebrach albo u Magnatów na dywaniku. Ale może warto zaryzykować? W końcu wy jesteście Pierwsza Brygada. Pierwsi do roboty. Pierwsi do zwycięstwa. I – być może – pierwsi, którzy odkryją, że Baron to nie tylko jeden człowiek. To idea za którą warto umrzeć.</t>
  </si>
  <si>
    <t xml:space="preserve">Ryba </t>
  </si>
  <si>
    <t>Przeklęci</t>
  </si>
  <si>
    <t>Chcieliście tylko kopać. Jak zwykle – bez zbędnych pytań, bez marzeń o wolności. Z pieśnią na ustach i braterstwem w sercach. Przecież jesteście drugą brygadą, która przeżyła już największe z piekieł. Ale od tygodnia coś się zmieniło. Strażnicy jakby złagodnieli. Krzyczą mniej. Biją tylko, kiedy naprawdę muszą. Ktoś mruknął, że „może chcą was kupić”, ktoś inny: „a może po prostu się boją.” Ale na tym nie był koniec kopalnianego, tygodniowego Eldorado. Wszystko zaczęło się od tej skrzynki. Wykuliście ją ze skały — stara, metalowa, pokryta dziwnymi symbolami, których nikt nie potrafił odczytać. W środku: ruda. Mnóstwo rudy. Więcej niż widzieliście razem przez miesiące. Nie zadawaliście pytań. Wynieśliście to wszystko, korzystając z danego wam przez łąskę innosa luzu. Podzieliliście się. Piliście. Śmialiście się.
Żyliście.
A potem… zaczęło się. Szepty. Czasem w ścianach. Czasem w waszych głowach. W języku, którego nie rozumiecie, ale czujecie, że nie jest dla ludzi. Koszmary. Wybudzacie się nocami z potem na czole. W umysłach wciąż słyszycie krzyki, obrazy ognia, zgnilizny i zardzewiałych twarzy. Zmęczenie. Nawet po odpoczynku czujecie się jak przeżuci. Jakby ktoś — coś — ssało z was życie, kawałek po kawałku. Coś z tą skrzynką było nie tak. Ale teraz już za późno, żeby ją zamknąć. Za późno, żeby udawać, że nic się nie stało.
Trzeba się zebrać i znaleźć pomoc. Może w Obozie na Bagnie, gdzie mówią, że znają się na zjawach i snach? A może u Sebastiana – maga ognia, który czasem zagląda do Slumsów? Nie każdy mu ufa, ale jeśli ktoś ma wiedzę o przekleństwach i dziwnych mocach, to właśnie on. Pytanie tylko czy wszyscy z was przeżyją na tyle długo, żeby ją zdobyć?</t>
  </si>
  <si>
    <t>Wyłom!</t>
  </si>
  <si>
    <t>Kopalnia to nie miejsce dla słabych, ale nawet najmocniejsze ręce są bezużyteczne, gdy zawodzi drewno, a ziemia zaczyna się ruszać. W jednej z bocznych odnóg, gdzie ostatnio robiliście odwierty, trzasnęło. Nie raz, nie dwa. Drewniana podpora wygięła się jak gnijący ząb. I chociaż sufit jeszcze się trzyma, to każdy, kto tam wejdzie – ryzykuje, że już nie wyjdzie. Strażnicy nie zamierzają tam wchodzić - „To wasza dziura – to wasz problem.” - mówią. Ale z drugiej strony każdy wie, że Gomez nie przepada za martwymi kopaczami, których traktuje jak swoje narzędzia. Dlatego dostaliście „propozycję” – zorganizować się i naprawić podporę. Nie będzie łatwo. Nie ma planów. Nie ma lepszego drewna. Tylko zgniłe belki, lina i kilka narzędzi, które pamiętają czasy pierwszych kopaczy. Ale to wasza brygada. Trzecia. Ta, która okrzykuje się najlepszą. Macie przecież bystrych ludzi, macie też silnych. Może czas udowodnić, że nie tylko Pierwsza nadaje się do ciężkiej roboty.
Tylko się pospieszcie. Czasem, w nocy, słychać jak coś tam w środku... pęka. Konsekwencje mogą być opłakane w skutkach.</t>
  </si>
  <si>
    <t>Sposób "Naprawy" podpory</t>
  </si>
  <si>
    <t>Maska do zdarcia</t>
  </si>
  <si>
    <t>Każdy z was ma na ciele ślady po Garhaxie. Może to siniak, może blizna, może tylko zaciśnięte zęby po kolejnej upokarzającej inspekcji. Ale nikt w Czwartej Brygadzie nie ma złudzeń — Garhax to nienawidząca kobiet gnida. Zawsze zły. Zawsze czujny. I zawsze bezkarny. A przed przełożonymi - lizodupny wazeliniarz, który zawsze gnie kark przed Cainem i Thorusem. Niektórzy próbują go unikać. Inni go znoszą. Ale w waszym kącie kopalni od tygodnia szepcze się o czymś więcej. Nie o przetrwaniu, a o sprawiedliwości. Może nawet… o zemście.
Mówi się, że Garhax robi rzeczy, które niekoniecznie mieszczą się w regulaminie. Że zatrzymuje rudę dla siebie. Że bije, nawet gdy nie musi, a pijany średnio się kontroluje. Ktoś rzucił pomysł: „Wrobimy go. Sami nic mu nie zrobimy, ale Thorus już tak.”
Wystarczy tylko pretekst. Fałszywa informacja. Może podłożony worek z rudą? Może wiadomość do odpowiednich uszu, że Garhax coś ukrywa? A może sfingowana śmierć kopacza, którego zakatowal? W końcu nawet strażnicy mają nad sobą kogoś. A jak się okaże, że nie działa w interesie Magnatów — wyleci szybciej niż zdąży wrzasnąć. Tylko że to musi być zrobione czysto. Bez śladów. Bez błędów. Bez splamienia waszych rąk – przynajmniej oficjalnie. Czas zerwać tą maskę, którą na siebie wdziewa i odsłonić zgniliznę jaka toczy się pod spodem.</t>
  </si>
  <si>
    <t>Strażnicy Rodion, Gawain, Rowan wesprą tych kopaczy</t>
  </si>
  <si>
    <t>Śliwki w kompocie</t>
  </si>
  <si>
    <t>Ten wątek Brygadowy będzie miał swój początek bezpośrednio na grze. Bądźcie czujni.</t>
  </si>
  <si>
    <t>Nicholasa nawet jak nie znał, to każdy kojarzył. Dobry człowiek, w porządku kopacz. Od pewnego czasu dużo gadał z Nolanem. Strażnik zabierał go na bok. Coś przekazywał. A teraz... teraz Nicholas zniknął i trudno powiedzieć co się z nim stało. Tak po prostu, z dnia na dzień - raz był, a raz go nie było. Hycel na pewno coś wie, ale czy zechce z wami gadać? Z drugiej strony, wiadomości od Nicholasa nosił ze sobą, w niewielkiej sakiewce. Może jeśli by je odzyskać dowiedzielibyście co się stało z Nicholasem?</t>
  </si>
  <si>
    <t>Kroki do podjęcia i przeszukania. Mapa skarbu i opis jak się do niego dostać + skarb.</t>
  </si>
  <si>
    <t>Dziwne rzeczy trafiają w ręce w Kolonii — czasem kamień szlachetny, czasem kieł pełzacza, a czasem… karta do gry. Z pozoru nic wielkiego. Ot, stara, nieco zniszczona karta z talii, przedstawiająca figurę Króla. Ale ktoś dopisał na niej coś dziwnego, coś jakby fragment hasła. I wygląda na to, że nie jesteś jedynym, kto dostał taką kartę. Podobno w sumie są cztery — Czterej Królowie. Każdy z innym symbolem, każdy z innym fragmentem hasła. Gdyby zebrać je wszystkie i złożyć we właściwej kolejności… podobno można to hasło podać odpowiedniej osobie i zgarnąć nagrodę. Tylko komu? Cóż, jeśli ktoś miałby wiedzieć coś więcej, to pewnie Eddy. Ten typ ma kontakty tam, gdzie inni mają szczury. Jedno jest pewne — jeśli chcesz coś z tego mieć, musisz odnaleźć pozostałych Królów. I lepiej, żeby ktoś nie był szybszy. Czy dogadasz się z resztą? Czy pobijesz ich i zabierzesz? A może ukradniesz, gdy nie będą się niczego spodziewać?</t>
  </si>
  <si>
    <t>Cztery karty królów z napisanym hasłem</t>
  </si>
  <si>
    <t>Krawcowa, która przeszła piekło i handlarzyna, co zawsze miała coś na sprzedaż — sznurki, guziki, wodę, paszteciki, kawałki skóry, czasem zioło w szmacie — nie należałyście do naiwnych. Szikra? Znałyście ją. Może nawet pomagałyście jej, gdy przyszła z niczym. Podrzucałyście słowa, może nawet dałyście uśmiech. Zawsze umiała się ustawić, od razu znalazła przyjaciela, a co więcej - podobno ma brata w straży. Ale podsłuchana ostatnio rozmowa zmarszczyła wam czoła i wykrzywiła usta w paskudnym grymasie. „…Nie potrzebuję już tego dziadostwa, mam lepszy układ.” Może się przesłyszałyście. A może nie. Bo przecież jeśli Szikra robi interesy z kimś spoza ich układu, to znaczy jedno: przestała być „jedną z nich”. A tak się nie robi. Nie tu. Nie w Slumsach. Trzeba ją przypilnować. Może dyskretnie zapytać, może puścić plotkę, a może… odbić jej kogoś, na kim jej zależy. Bo jeśli Szikra chce być kimś — to nie kosztem tych, którzy ją wypchnęli z błota.</t>
  </si>
  <si>
    <t xml:space="preserve">Pierwszy Podziemny Krąg położył fundamenty pod coś, co wszyscy uważali za oksymoron. Podmiotowość i niezależność Kopaczy. W walkach nie chodziło o miejsce, nagrodę, czy chwałę - tylko o godność. Jesteście Kopaczami, jesteście gotowi skopać dupy i jesteście wszyscy zgodni w jednym - Podziemny Krąg będzie miał swoją kontynuację. Macie poparcie i zasoby, stworzone ostatnim razem koneksje oraz pomoc Eddiego, który wsiąknął w inicjatywę. Wykorzystajcie je, by znów poczuć się panami własnego losu. Nikt o tym nie usłyszy, śpiewać przy ognisku o tym nie będą - ale to nieważne, bijecie się po to, by poczuć, że żyjecie. A żyć Wam się kurewsko chce. </t>
  </si>
  <si>
    <t>Golem nie patrzył wam w oczy, gdy mówił. Chociaż z drugiej strony, może po prostu nie chciał, byście zobaczyli niepewność w jego spojrzeniu? Bał się, że w którejś z waszych źrenic zobaczy odbicie tego, co zamierza rozpętać. W jego głosie, zazwyczaj tak pewnym i silnym jak cios kamiennego - nomen omen - golema, słychać było drżenie. Tym razem był poważny. Nie uśmiechał się, nie żartował. Widać, że zależało mu na losie kopaczy, a to, co wymyślił, wykraczało daleko poza zwykłe działania. – “Nie pytajcie mnie, czy to rozsądne. Nie jest. Nie pytajcie, czy to dobre. To nie ma nic wspólnego z dobrem. Nie pytajcie, dlaczego wy - kto inny byłby na tyle zdesperowany?”
Tyle wam powiedział. Resztę wrzucił do worka — literalnie. Stare płótno, dziurawe, przesiąknięte wilgocią. W środku dwie połowy kilofa, które podobno wykopano spod zwalonego stropu — należącego kiedyś do kogoś z piątej brygady. Z tej piątej. Z tej, którą wyrżnięto niemal co do jednego. Z tej, o której już nikt nie mówi, a wy przekazuje sobie tylko ukradkiem gest, który ma zachować ich w pamięci. Tej, którą pochowaliście własnymi rękami trzy miesiące temu. Jest sposób, by jeszcze raz ich usłyszeć. Jest sposób, by przywrócić jednego z nich — na krótką chwilę — i posłuchać tego, co się naprawdę stało. Opowieści tego, któremu zamknięto usta na zawsze. Którego wargi zaszyte są jego własną krwią. I może… może to da wam coś więcej? Zrozumienie? A może wiedzę? A może po prostu oddacie truchłu sprawiedliwość? Tylko najpierw trzeba to zrobić, a Golem opowiedział wam jak. Skąd wie? O niektóre rzeczy lepiej nie pytać.
Etap pierwszy: Zaklęcie i Inkantacja
Bractwo na Bagnie od lat przechowuje pewną stronę w swej Świętej Księdze. Starą, zakazaną, ukrywaną przed innymi magami i badaną w sekrecie. Zawiera inkantację przywrócenia duszy do ciała — tymczasowo, niedoskonale, boleśnie. Ale ostrzegają - Ostatni mag, który próbował ją rzucić, zginął, zanim dokończył słowa. Duch, który przez niego przemówił, nie chciał odejść. Teraz czeka i czai się w pergaminie. Ten, kto go uniesie — nie będzie już sam. Zwój pozwoli poznać inkantację i kolejność rytuału.
Rytuał wymaga pięciu głosów, by wypowiedzieć słowa. I pięciu, które będą powtarzać mantrę: „Beliarze, błagamy”. Bo do niego należy domena śmierci i bez ofiary ku niemu, nie będzie szans na powodzenie zaklęcia. Po każdej części inkantacji, gdy osoba opanowana przez ducha będzie wykonywać komponent fizyczny. Po każdym błaganiu. Po każdym krzyku. Bo bez tych głosów, Beliar będzie głuchy na wasze prośby.
Etap drugi: Ochrona ducha i ciała.
Żeby nie skończyć jako pokarm dla ożywieńców, musicie zdobyć kostur Arcymaga Magów Ognia. Nie po to, by rzucać zaklęcia ale by odgonić to, co martwe, a co może przyjść na szepty duszy zza światów. Nie jest niezbędny do rytuału, ale z pewnością bez niego całość będzie dużo bardziej ryzykowna.
Sam rytuał nie wystarczy. Potrzeba trzech najemników. Żeby nikt się nie zbliżył. Bo w noc rytuału, nawet drzewa mogą być waszymi wrogami. Lepiej mieć siłę w mieczu, by walczyć ze złem. Bez nich, może się okazać, że wasz los jest policzony.
Etap Trzeci: Cztery komponenty: Eliksir, Rytuał Jedności, Symbol Przeszłości i Krwawa Ofiara
Żyła Życia. Eliksir rzadki, zakazany, oblepiony mitami. Plotki mówią, że składniki trzeba znaleźć po całej Kolonii. [SKŁADNIKI – UZUPEŁNIĆ] Jedno wiadomo na pewno: musi być uwarzony przez alchemika, który zna się na miksturach. Recepturę zdobył Golem, do was należy reszta.
Dwie połówki kilofa. Jedna z nich przesiąknięta krwią. Druga — pyłem zasypanej przeszłości. Zanurzone w misie z wodą Adanosa, pobłogosławionej przez kapłana lub szaleńca. Związane sznurem, który słyszał krzyk konającego. Połączone — przywrócą iskrę tego, co zostało pogrzebane.
Trzeba też czegoś osobistego. Koszuli. Strzępka. Czegoś, co było blisko skóry zamordowanego. Są tacy w Slumsach, co pamiętają tamten dzień. Ktoś z nich może jeszcze mieć coś, co należało do tamtych. Ale to będzie kosztowało. I niekoniecznie rudę.
W trakcie rytuału trzeba będzie także ugodzić nożem - niekoniecznie śmiertelnie - pięć osób, które powtarzają mantrę do Beliara, gdyż pan śmierci nie daje nic za darmo i trzeba złożyć mu ofiarę, by uzyskać jego przychylność.
Piątek, 22:30. Na cmentarzu, gdzie leży piąta brygada. To wtedy wszystko się zaczęło. To wtedy wszystko musi się wydarzyć znowu. Jeżeli się spóźnicie, okno się zamknie, a kopacz, który miał powrócić… może nie będzie już chciał odejść. To nie jest zadanie. To jest bluźnierstwo, które możecie popełnić tylko raz. Inkantacja wykorzystuje imiona innych bogów, by podstępem użyć ich mocy do mrocznej magii. Podzielcie zadania. Zorganizujcie się. Wciągnijcie w to zaufanych ludzi. Golem daje wam narzędzia, a reszta zależy już tylko od was. I od tego, jak bardzo chcecie poznać prawdę. Czy mrok może zostać użyty w dobrym celu?</t>
  </si>
  <si>
    <t>Co muszą zebrać? I jak wydarzenie wygląda.</t>
  </si>
  <si>
    <t>Wiecie, co naprawdę stało się z piątą brygadą. Magnat Magnus — człowiek bez litości — wymordował ich wszystkich. Słyszeliście też, że w straży zdania na jego temat są podzielone. Niektórzy go szanują, inni się go boją, a jeszcze inni… czekają na okazję, by go uderzyć. Jeżeli utworzą się stronnictwa, to może będziecie w stanie do któregoś dołączyć. Pomóc? Znaleźć chwilę na zemstę. Z drugiej strony, niektórzy z was nie doznali od Magnusa jedynie krzywd. Może właśnie ta chwila nadchodzi? Chwila wyboru. Czy dla was to zemsta, czy kwestia honoru? Z jednej strony nie można pozwolić, by ta krzywda przeszła bez echa, ale z drugiej - czy brutalność kolonii nie napędza się w ten sposób sama? Czy nie dołączycie do jej trybików? Czy odważycie się sięgnąć po zemstę? Czy warto po nią sięgać? Bo czasem nawet najcichszy szept może roznieść się na cały Stary Obóz.</t>
  </si>
  <si>
    <t>Nie jesteście złodziejami. Przynajmniej nie z zawodu. Ale gdy kopie się w ciemnościach dwanaście godzin dziennie, człowiek zaczyna sobie zadawać pytania — na przykład takie, co trzyma Aleph w tej skrzyneczce, którą nawet do latryny ze sobą nosi. Mała, metalowa, z rączką i dziwnym zamknięciem, którego nikt jeszcze nie rozgryzł. Czasem ją przekłada. Czasem szepcze coś pod nosem, jakby do niej mówił. Ale co najgorsze — nie pozwala nikomu jej dotknąć. A to już pachnie nie tylko sekretem, ale i bogactwem. Może to tylko sentymentalna pamiątka. A może… ruda, magiczny artefakt, zaklęcie, które uczyniło z Alepha tego, kim jest. Nie wiadomo. Ale wiecie jedno — jeśli się nie spróbuje, to się nie dowiecie. Trzeba tylko znaleźć odpowiedni moment. Może gdy pójdzie do latryny, a może jak zaśnie po flaszce. Albo… może da się go sprowokować, żeby sam od niej na chwilę odszedł. Nie macie planu. Macie chciwość. A w Kolonii to często wystarcza.</t>
  </si>
  <si>
    <t>Skrzyneczka dla Alepha</t>
  </si>
  <si>
    <t>To był majstersztyk. Napad na nowicjuszy z Bagna, szybki, bez zbędnego rozlewu krwi. Ich sakwy aż dzwoniły od rudy, a jeden nawet miał przy sobie szkatułę z jakimiś dziwnymi zwojami. Idealnie. Taki łup zdarza się raz… może dwa razy w życiu pod Barierą. Zakopaliście wszystko ostrożnie, w ziemi niedaleko kopalni, gdzie ścieżki są mniej uczęszczane, a straż nie zapuszcza się bez powodu. Tam miało leżeć – do czasu, aż sprawa ucichnie. Tyle że teraz na tym miejscu stoi strażniczy namiot. Prawdziwy, kilka kroków od nowo powstałych slumsów. Strażnicy zgarbieni nad stołem, czujni, czasem nawet sypiający tam z jednym okiem otwartym. Skarb dalej tam jest. Ziemia pod ich nogami to wasze srebro i ruda. Tylko jak się do niego dobrać, nie budząc podejrzeń? A może… skok stulecia dopiero czeka na swój finał?</t>
  </si>
  <si>
    <t>Skarb zakopać pod stróżówką na slumsach</t>
  </si>
  <si>
    <t>Some words are not meant for mortal eyes. But then again… who decides what’s sacred and what’s just forgotten knowledge dressed in robes? You’ve heard the whispers. One of the Novices from the Swamp Camp dropped a scroll during a visit to the Old Camp. Not just any scroll — a page torn from the holy book they guard so jealously. It was quickly recovered, the novice was severly punished for theft and his screams of woe were heard far beyond the swamp, but rumors spread like wildfire: strange symbols, ink that shimmered, a language old as gods themselves. They said it was a scroll of Eternal Kinship. A spell so powerful it requires a lot of essence, but the effect? Everyone needs to hold hands in circle, cast the spell of Eternal Kinship and whoever had malicious intentions towards the group in the circle, will feel an unbearable pain, like their feet are on fire and their tongue is being cut out. It will work on maximum of 7 people in a circle, they said.
If you steal a page with a spell, perhaps you could sell it with profit and buy yourself out of the Mine? Or even better - cast it among yourselves to check who is loyal and who is a traitor? After all, Golem is looking for ways to ease a digger's life. To fence off the Guards. What would be better than to know who shouldn't be trusted in a trusted circle? You would just need to search for a friendly mage to cast a ritual on your circle.
They say that those who steal from the Swamp Camp are cursed. But knowledge is power, and power is the only currency that matters under the Barrier. For now only you two know about it, but the operation might require pulling more people in.The plan is simple: Get in, locate the book. Understand the shifts of guards. Get the page. Get out. And then… figure out what it means before someone realizes it’s gone. Because if they do — it won’t be the curse that finds you first.</t>
  </si>
  <si>
    <t>To miało być proste. Zabrać rudę szkodnikom, zakopać ją w bezpiecznym miejscu, a potem wrócić po nią, jak ucichnie. Żadnych śladów, żadnych świadków. Skrzynka głęboko pod ziemią, a klucz — tylko jeden. W Waszych rękach. Euforia ze zwycięstwa nad dwoma szkodnikami była wielka. Dostali taki łomot, a potem uciekali aż się kurzyło. Znaleźliście bezpieczne miejsce i zaczekaliście aż opłacony strażnik będzie na warcie, żeby przemycić rudę do starego obozu i przechlać w karczmie. Majątek - prawie pięćdziesiąt bryłek.
Ale kiedy wróciliście… już jej nie było. Ziemia rozkopana. Skrzynka zniknęła. Jedyny ślad to porozrzucana darń i kilka ciężkich odcisków butów. A potem ta pogłoska — ktoś widział dwóch strażników - Runara i Ognara - idących traktem nieopodal, uśmiechniętych od ucha do ucha, jakby właśnie wygrali w kościanego pokera drugi żołd. Jeśli to oni… i jeśli jeszcze jej nie otworzyli… to skrzynka może być gdzieś w Starym Obozie. Wciąż zamknięta. A Wy wciąż macie klucz. Pytanie tylko: czy starczy Wam odwagi i sprytu, by ją odzyskać? Bo strażnicy nie będą chcieli się nią dzielić. I nie będą pytać, czy to „Wasza”.</t>
  </si>
  <si>
    <t>Skrzyneczka z kluczem</t>
  </si>
  <si>
    <t>Okradnięcie oprawcy to niemiały wyczyn, ale waszej czwórce się to udało. Co prawda Gordon spał wtedy pod drzewem, gdy zwiał z warty, a sądząc po butelkach dookoła sen ten był nieco wzmocniony. No i było ciemno. No i była was czwórka. Ale ukradliście mu torbę! Jakież było wasze zdziwienie gdy zobaczyliście co było w środku zamiast oczekiwanych worków z rudą. Zdobyliście pamiątkę Gordona — małą, zniszczoną lalkę, którą ponoć podarowała mu matka dawno temu. Teraz, gdy trzymacie ją w swoich rękach, śmiejecie się z niego za plecami, rzucacie szeptem zaczepki i żarty. Ale dobrze wiecie, że ta laleczka to coś więcej niż tylko stara zabawka. To symbol, coś, co dla strażnika znaczy więcej niż złoto czy ruda. Kiedyś ta czara goryczy przeleje się i wtedy… będziecie mieli problem. Strażnik na pewno będzie chciał ją odzyskać — i nie cofnie się przed niczym, by to zrobić. Czy uda wam się utrzymać swoją zdobycz, czy staniecie się celem jego gniewu? Pamiętajcie — w Starym Obozie małe rzeczy potrafią mieć wielkie konsekwencje.</t>
  </si>
  <si>
    <t>Lalka (Zrobi Zuzia)</t>
  </si>
  <si>
    <t>Odpoczywaliście. Ot, chwila spokoju, ławeczka pod chmurką, niedaleko Nowego Obozu — z dala od wrzasków strażników i tumanów pyłu z kopalni. Ktoś coś chrupał, ktoś inny przysypiał z czapką na oczach. Życie pod barierą może i bywa parszywe, ale czasem da się złapać oddech. I wtedy to się stało. Wilgotne mlasknięcie. Coś na łokciu. Miękkie, mokre, zimne. Odwróciliście głowy i zamarliście. Ogar. Prawdziwy orkowy ogar. Tuż obok. Wpatrzony. Powolny, ale czujny. A potem już wszystko działo się szybko — krzyki, wrzaski, pęd przez zarośla, zgubione czapki, porzucone torby, cały dobytek zostawiony w popłochu na miejscu odpoczynku. Uciekliście. Może i tchórzliwie, ale żywi. Tylko że… wszystko, co mieliście, zostało tam — niedaleko ziem orków. A ogar? Może jeszcze śpi. Może tropi. A może przyszli jego opiekunowie? Ale jedno jest pewne — jeśli chcecie odzyskać swoje rzeczy, będzie trzeba wrócić. Po cichu, z planem. Albo szybko, z kijem w ręku i desperacją w oczach. No bo jak to tak — zostać bez plecaka, bez waszej rudy... i bez godności?</t>
  </si>
  <si>
    <t>Porzucony dobytek</t>
  </si>
  <si>
    <t>Siedziałeś tego wieczoru jak zwykle — oparty o beczkę, z resztką niedopalonego skręta w zębach i wzrokiem wbitym gdzieś w błotniste niebo nad Kolonią. Ale coś w Tobie buzowało. Nie zioło. Nie głód. Coś większego. Potrzeba rozmachu. Bo ileż można? Drobne przekręty, jakieś podrzutki, kradzież bochenka chleba, przekupienie strażnika. To wszystko już było. A przecież Kolonia pamięta czyny, nie plotki. Wspomina tych, którzy odwalili coś tak wielkiego, że echa ich wybryków niosły się aż na Zamek. Gdybyś tylko miał ze sobą swoich braci... ale może warto rozejrzeć się przy zrzucie skazańców?
Czas pozbierać swoją rodzinę do kupy i zrobić coś naprawdę dużego. Takiego, co na zawsze zapisze Wasze imiona w murach tej przeklętej dziury. Co? Jeszcze nie wiadomo. Może wynieść coś ze skarbca Gomeza? Może porwać maga wody? A może ukrąść świętą księgę guru Bractwa? Ale jedno jest pewne — to będzie akcja, po której nic już nie będzie takie samo. I jak to powiedział Dziki, zanim go zwinęli: "Albo grubo, albo z kilofem."
A przede wszystkim, byleby tylko nie trafili na tego debila Wąskiego, który nakładzie im gówna do głowy. Jeżeli faktycznie spadają w tym zrzucie, to musisz ich przechwycić. Za wszelką cenę.</t>
  </si>
  <si>
    <t>Dostać się od razu do straży nie jest łatwo. Ale też nie jest to możliwe, co widać chociażby po niegdysiejszym brygadziście pierwszej brygady - Vargu. Czy można sprzymierzyć się z wrogiem, by docisnąć kolejnego wroga? Moralne ścieżki zawiodły Cię dokładnie na to pytanie. Otóż Nolan jest, nie da się ukryć, strażnikiem. A poparcie strażnika, zwłaszcza takiego, który odpowiada bezpośrednio przed Thorusem może wiele znaczyć. Okazja za to nadażyła się sama. Kopiąc blisko wejścia do kopalni na wczorajszej szychcie usłyszałeś Nolana, który mówił, że jeżeli ktoś przyniesie mu trofeum z prawdziwej bestii, to zaklina się na Innosa, że powie o takim kopaczu dobre słowo Thorusowi, który jak wiadomo jest jego najlepszym przyjacielem. Pewnie jak zwykle przechwalał się na wyrost, ale trochę prawdy w tym być musi. Chociaż z drugiej strony, czy ktoś ufał w tym miejscu Nolanowi?</t>
  </si>
  <si>
    <t>Nowy Ja</t>
  </si>
  <si>
    <t>Zawsze byłeś tym cichym. Tym, co nie przerywał, gdy inni krzyczeli. Tym, co oddał ostatni kęs, jeśli komuś burczało w brzuchu. Tym, co pomagał, zamiast rozkazywać. A teraz jesteś brygadzistą. Po Vargu. Po tym, który trzymał was twardo, jakbyście byli jego narzędziami, nie ludźmi. Niektórzy z brygady patrzą na ciebie z ulgą. W oczach Nolana widzisz politowanie. „Chudy? On nie przetrwa tygodnia. Nie potrafi nawet krzyknąć". A strażnicy? Pewnie tylko czekają na jakiś znak. Ślad, że się nie nadajesz. Że można cię wymienić. Teraz każde twoje słowo ma wagę. Każde „zrób to” może być rozkazem albo prośbą. Każde zawahanie może być siłą… albo słabością. Ale ty przecież znasz swoją wartość i wiesz, że te półgłówki ze straży, a już zwłaszcza zezwierzęcony Nolan nie dodaliby dwa do dwóch nawet jak kopnęłoby ich w dupy i gra silniejszego w jaką grają nie jest jedyną możliwością na współpracę i życie. Kim będziesz jako brygadzista? Czy znajdziesz sposób, by nie zdradzić siebie – i przetrwać. Czy nauczysz się rządzić inaczej niż Varg... czy zostaniesz jego cieniem?</t>
  </si>
  <si>
    <t>Zła Wiara (E)</t>
  </si>
  <si>
    <t>W tamtym chaosie nie było zasad. Orkowie wdarli się do kopalni jak burza. Zabili kilku strażników, zasiekli paru kopaczy. A potem kazali wam słuchać. "Jak Morra zabije Morra to wyjdzie wolno." Zrobiło się cicho. Za cicho. I wtedy właśnie Radwald rzucił się na ciebie. Nie zawahał się ani chwili. Nie zapytał. Nie próbował nawet spojrzeć ci w oczy. Po prostu zaatakował. I nie udało mu się dopiąć swego. Może ktoś go powstrzymał. Może ty byłeś szybszy i wywinąłeś się niczym węgorz, zaznajomiony z brudnymi sztuczkami. Może to orkowie przerwali jatkę, śmiejąc się z was jak z psów. Ale to się wydarzyło. I tego mu nie zapomnisz. Wystarczająco długo siedziałeś spokojnie i znosiłeś upokorzenia. Radwald stał się kroplą, która przelała czarę goryczy.
Teraz Radwald chodzi dumnie z nową bandą. Nazywają się klasztorną grupą cieni — jakby to miało nadać im sens, głębię, styl. Ale ty widzisz tylko tchórza, który bez mrugnięcia chciał ci wbić nóż w plecy. I może nie od razu. Nie przy wszystkich. Ale w końcu straci czujność i zapłaci za wszystko, co ci uczynił. Może trzeba będzie sprzymierzyć się z wrogiem - ze strażnikami albo z Nolanem. Może trzeba będzie lizać zad Golema, zrobić coś dla Eddiego albo jeszcze gorzej - zatrudnić kilku szkodników. Ale przyjdzie czas, gdy Radwald nie odwróci się za plecy, żeby sprawdzić kto za nim stoi. A ty będziesz już czekał i dopilnujesz, żeby w chwili gdy świat runie mu pod stopami, gdy skruszeją jego fundamenty, a fasada cienia-bohatera strzaska się jak porcelana, wiedział komu zawdzięcza swój upadek.</t>
  </si>
  <si>
    <t>Prawdziwa Władza</t>
  </si>
  <si>
    <t xml:space="preserve">Nie znaliśmy go dobrze. Nie klepaliśmy się po plecach, nie piliśmy z tej samej miski, nie staliśmy ramię w ramię w żadnym pierdolonym heroizmie. Ale wszyscy wiedzieli, kim był Golem. Nie strażnik. Nie magnat. A jednak, gdy Golem mówił, to nawet straż słuchała uważniej. Nie dlatego, że krzyczał najgłośniej, tylko dlatego, że umiał znaleźć tych, których bali się wszyscy inni. Znał tajemnice, znał ludzi, znał cenę wszystkiego – i potrafił ją wyegzekwować twardo zaciśniętą pięścią. Każdego jednak nurtowało pytanie - co będzie, gdy go zabraknie? 
Nie zamierzasz na pewno siedzieć cicho. Slumsy może i trzyma kilka osób, ale przecież ty też możesz być wśród nich. Nie jestes jedyny – to widać. Niektórzy już zbierają swoich ludzi, inni kupują lojalność ciepłym chlebem, a jeszcze inni szeptają między namiotami o tym, kto się nadaje, a kto nie. Ale to nie chodzi o poparcie. Tu chodzi o struktury. O wpływy. O dostęp do towaru. Do strażników. Do magów. O to, kto trzyma języki na smyczy i kto powie „nie ruszaj go” – a to wystarczy. Władza tu nie ma korony. Ma miecz, worek z rudą i ludzi, którzy się nie pytają, tylko robią.
Nie wiem jeszcze, jak to ugryźć. Może przez zaufanych. Może przez handel. Może przez lęk. Ale wiesz jedno: to nie straż rządzi Slumsami. I nigdy nie rządziła. Zawsze był ktoś, kto trzymał to wszystko razem. I ktoś, kto mu pomagał. A ty nie zamierzasz patrzeć z boku. Prawdziwa władza, ta przy Golemie, należy się Tobie.
</t>
  </si>
  <si>
    <t>Pierścień Maga (R)</t>
  </si>
  <si>
    <t>W karczmie można usłyszeć różne rzeczy. Głównie bełkot, żale i groźby rzucane z pełnym pyskiem zupy. Ale czasem, jak człowiek potrafi siedzieć cicho i słuchać, usłyszy coś cennego. Tak było z Marudą. Nieco zdziadziałym kopaczem z twojej brygady, co to na wszystko patrzy krzywym okiem, a język ma gorący jak piec hutniczy. Mówił coś o pierścieniu. Magicznym. Może nie ukradzionym, ale przywłaszczonym. I że czasami przydaje mu się, gdy jest w opałach. Imion nie podał, ale z kimś ma jakiś układ? Chyba dobrze usłyszałeś. Tak, czy inaczej taki 
Ten pierścień albo jest w jego kieszeniach albo gdzieś go chowa. A przecież Magowie Wody nie lubią, gdy coś, co ich, leży w cudzych rękach.
Lubią posłusznych. Cichych. Lubią, gdy rzeczy wracają na swoje miejsce. Jeśli znajdziesz ten pierścień i oddasz go Magom – nie pytając o zapłatę, nie robiąc szopki – może cię zapamiętają. Może dostrzeże cię któryś z ich uczniów. Może dostaniesz ich zaufanie. A od zaufania Magów do pełnej miski i ochrony przed strażą jest bardzo krótka droga. Z drugiej strony, przecież Maruda to "swój". Jak wielką wartość ma dla ciebie przypodobanie się magom? Czy jesteś gotów... przecież nawet nie zdradzić towarzysza. Tylko pomóć mu naprawić błąd. Prawda? Prawda.</t>
  </si>
  <si>
    <t>Zdrada!</t>
  </si>
  <si>
    <t>To nie była twoja pierwsza noc bez snu. Ale pierwsza, gdy nie dawał ci spokoju liścik. Zwinięty niedbale, podłożony pod koc, tam gdzie tylko ty zaglądasz. Bez podpisu, bez ozdobników. Tylko jedno, krzywe zdanie, napisane drżącą ręką: „W twojej brygadzie jest szpicel. Straż wie o was więcej niż powinna.” Od tamtej pory coś się zmieniło. Rozmowy cichną, gdy wchodzisz. Ludzie uciekają wzrokiem. Zaczynasz myśleć, co wiesz o ludziach, z którymi dzielisz chleb, kurz i przekleństwa. Kto z nich za bardzo milczy? Kto zbyt często gada o niczym, gdy jest o czym? A najgorsze jest to, że straż rzeczywiście była ostatnio podejrzanie punktualna. Zatrzymali rozmowę o dodatkowej zmianie jeszcze zanim się rozpoczęła. Tak, jakby ktoś im szeptał do ucha. Teraz jesteś w potrzasku. Zrobisz zbyt wiele – bunt. Zrobisz zbyt mało – zdrada się rozrasta. Możesz działać dyskretnie. Sprawdzać, kto z kim sypia, z kim pije, z kim gada. A może wciągnąć kogoś zaufanego i razem prześwietlić brygadę? Albo… zacząć podrzucać fałszywe informacje i zobaczyć, które z nich trafią do straży. Rozwiązań jest sporo, ale pytanie, które wierci ci głowę to - Kto to mógłby być? Przecież od zawsze byliście tak zgraną ekipą.</t>
  </si>
  <si>
    <t>Nolan rzucił tylko jedno zdanie, przechodząc obok podczas szychty: „Czwartek, północ. Podziemny Krąg. Sam.” Nie dał ci czasu na pytania. Nie powiedział, o co chodzi. Ale z jego tonu jasno wynikało, że to nie prośba. Cokolwiek się wydarzy – lepiej się nie spóźnić.</t>
  </si>
  <si>
    <t>Dług</t>
  </si>
  <si>
    <t>Wtedy to wyglądało jak jedyny wybór. Uciekłaś. Zeszłaś z trasy, zniknęłaś ze zmiany, zaszyłaś się na bagnie. Było zimno, mokro i śmierdziało zielskiem, ale przynajmniej nikt nie kopał cię butem za to, że za wolno machasz kilofem. Tyle że to nigdy nie było za darmo. Ktoś ci wtedy pomógł. Ktoś zaryzykował, żebyś mogła się tam przeczołgać, wytrzymać kilka dni, wrócić „zaginiona” jakby nigdy nic. Nie było wtedy pytania o zapłatę – tylko spojrzenie, które mówiło „potem”. Uważaj, bo choć to z pozoru niegroźni sekciarze, to potrafią dopomnieć się o swoje.</t>
  </si>
  <si>
    <t>Dwie Siostry</t>
  </si>
  <si>
    <t>Zanim otworzysz oczy, czasem czujesz, że jest tuż obok. Cień ruchu, znajomy zapach, echo ciepłego głosu. Ale zanim zdążysz się odwrócić — znika. Pytałaś o nią wszędzie, gdzie możesz, nawet jeżeli od zawsze się kłóciłyście. Przecież tak to jest z siostrami. Razem na noże, bez siebie... jakby ktoś wyciął Ci kawałek duszy, wyrwał przemocą i brutalnością większą, niż ta którą prezentują strażnicy. W końcu usłyszałaś wieści. Chociaż z drugiej strony, teraz, siedząc przy ognisku niby ze swoją brygadą, ale myślami gdzie indziej, zastanawiasz się, czy lepiej byłoby tego nie słyszeć. W obozie na bagnie jeden nowicjusz powiedział Ci, że szedł za jej wizją. Uznał ją za widzącą, czy tam wiedzącą - kto by rozpoznał bełkot zjaranych sekciarzy? I wtedy mówi ci, że nie był wystarczająco silny by pójść za nią dalej. Słyszysz, że Atalla tu była, ale nie została. Poszła dalej — na ziemie orków.
Nie rozumiesz, co ją tam mogło ciągnąć. Może coś znalazła, może czegoś szukała, a może po prostu — jak zawsze — nie chciała zostawić cię w spokoju, rzucając kolejne kłody pod nogi nawet jeśli już jest m... nie! Nie możesz tak myśleć. I choć sam kopalniany pył ciąży na barkach, a świat zdaje się kręcić bez końca, ty wiesz jedno: nie przestaniesz jej szukać. Bo siostra to nie wspomnienie, to ślad w sercu, którego nie da się wymazać. Masz znajomych w straży. Może załapiesz się na którąś z ich wypraw? Może wśród drzew znajdziesz wycięte na korze "A" - znak, który dawałyście sobie w dzieciństwie chowając się przed rodzicami. Przecież nadzieja umiera ostatnia, a wy zawsze byłyście jak ogień i woda. Osobno niby nienajgorzej, ale prawdziwy dym był jak się was złączyło. Dwie siostry. Ale serce jedno.</t>
  </si>
  <si>
    <t>Coś Atalli i zakopać na ziemiach orków i oznaczyć A</t>
  </si>
  <si>
    <t>Gdzieś mi się zapodział…</t>
  </si>
  <si>
    <t>Będziesz leciał do Starego Obozu, co nie? To słuchaj, mam małą prośbę. Jakiś czas temu pożyczyłem Dorianowi swój zielnik. Chciał go przepisać i potem miał mi zwrócić, ale jakoś żaden kurier od niego się nie pojawił? Możesz to załatwić? Jakoś ustalimy potem Twoje wynagrodzenie, ale nie martw się. Stratny nie będziesz. Jasnobrązowa okładka i rysunki roślin w środku - jak to zielnik. Nie interesuj się za bardzo tym co będzie w środku, bo i tak nie zrozumiesz.</t>
  </si>
  <si>
    <t>Dodo ma z pozoru prostego fetchquesta, ale skończy się na poszukiwaniach w całej kolonii. Golem pożyczył zielnik, Dorianowi, Dorian jednemu z Magów (IMIĘ), który też pożyczył to do apteki (IMIĘ), która dała to komuś kolejnemu z apteki (IMIĘ), która sprzedała to na Bagno (IMIĘ), kto wymienił się tym z Chudym, który dał to w NO w ramach zapłaty za jedną recepturę, gdzie to zostało znowu sprzedane na Bagno (IMIĘ). Z Bagna ponownie trafiło to do SO do służby (chyba Tanka), a podczas jednej z wzyt w SO zakupił to Eridan z NO i teraz to jest w kaplicy Magów Wody.</t>
  </si>
  <si>
    <t>Więcej nie piję!</t>
  </si>
  <si>
    <t>Kość ci szła, tak samo jak ręka z butelką. Piwo za piwkiem, wygrana za wygraną. Leciałeś z tymi nowoobozowiczami jak z dziećmi. No, przynajmniej dopóki nie przyszedł Gonzo - herszt myśliwych. Okazało się, że nie tylko łeb ma nie od parady jeśli chodzi o chlanie, to jeszcze wie co jest pięć z kośćmi i pokerem. Nieźle już zrobiony, z szumiącą głową, wrzącą krwią w ciele i rozmytym wzrokiem rzuciłeś naprawdę wysoką cenę. Postawiłeś swój łuk.
Następnego dnia obudziłeś się z głową, którą rozsadzało ci jakby Magowie Ognia urządzili tam sobie konkurs muzyki na dzwony, a co gorsza - bez swojego cennego łuku, który pomagał ci do tej pory przetrwać. Nie pamiętasz nawet z kim graliście ani jak się potoczyła partia. Jedyne co masz przed oczami to twarz Gonza, który z uśmiechem przyjmuje zakład o Twoją ukochaną broń. Ciekawe, czy łatwo będzie go odzyskać. Pewnie nie rozstanie się z nim od ręki, ale wydawał się być w porządku człowiekiem. Może kolejny zakład? Albo jakaś propozycja? Tak, czy inaczej - więcej nie pijesz... no, przynajmniej przez godzinę.</t>
  </si>
  <si>
    <t>Łuk (Dostarczy gracz)</t>
  </si>
  <si>
    <t>Szlachetne zdrowie</t>
  </si>
  <si>
    <t>Nie wszyscy kopacze mają równo. Ty, Rudzik, masz… pecha. Nie tylko boisz się pełzaczy — masz na nie uczulenie. Nie wiadomo dokładnie, co cię uczula — ślina? Jad? Zapach? Może sama ich obecność, jakby twoje ciało wiedziało wcześniej, że to coś nienaturalnego. Wystarczy zadrapanie, rozcięcie, kontakt z ich wnętrznościami — i zaczyna się. Skóra puchnie, świat wiruje, a oddech zamienia się w walkę. Nie możesz tak dłużej. Ktoś w Kolonii musi wiedzieć, jak temu zaradzić. Słyszałeś plotki, że jeden z Magów Ognia prowadził badania nad toksynami pełzaczy. Może Sebastian? A może ktoś na Bagnie wie, jak zrobić ziołowy wywar, który cię zabezpieczy? Czas znaleźć antidotum. Bo następnym razem możesz nie mieć tyle szczęścia.</t>
  </si>
  <si>
    <t>Receptura na odrucie i na pozbycie się alergii</t>
  </si>
  <si>
    <t>Między deszczem, a rynną</t>
  </si>
  <si>
    <t>Twoi przyjaciele stoją po dwóch stronach barykady. Dosłownie. Jeden z nich, Cień imieniem Marko namawia Cię, by dołączyć do swojej frakcji, oferuje wręcz pomoc! Taki stan rzeczy uciąłby jednak Twoje kontakty z Aoriciem, członkiem bandy Szkodników, który też obiecywał, że jeśli zrobisz Stary Obóz w chuja, pomoże Ci postawić pierwsze kroki w Nowym Obozie. Wybór należy do Ciebie, ale jedno jest pewne - ani jedna, ani druga oferta nie będzie trwała wiecznie. A jakakolwiek decyzja będzie miała konsekwencje.</t>
  </si>
  <si>
    <t>Sti w rozkroku między przyjaciółmi - jednym z Cieni, drugim z NO</t>
  </si>
  <si>
    <t>A humble servant</t>
  </si>
  <si>
    <t>Ah, to serve in the Castle. There — under rooftops where rain doesn’t pour from above, and the food smells far better than the rotting bread in the slums. But in the Colony, even servitude is a privilege. And all the spots are already taken. Especially by those who’ve been hauling pots, scrubbing floors, and learning the castle corridors like the back of their hand for years. If you want in, you’ll have to make room. While sipping some watered-down beer (or rather, piss) in the tavern, your ear caught a conversation between two convicts — seemed like they had connections up high. Apparently, Zevan, the one now overseeing the servants, isn’t some gentle master who pats everyone on the back. No — with him, you can just as easily be raised into the magnates’ favor as kicked back down to the mines. Word is, someone up top remembered that a servant is just a better-dressed digger — and the latter are always in short supply. After all, under the Barrier, no one is irreplaceable. Maybe it’s enough to overhear something dirty. Maybe you can push the right person into the wrong mistake. Or maybe... you’ll have to talk to a guard who’d gladly swap an old servant for a fresh one. A humble servant? Perhaps. But someone else has to go for you to take their place. In the Colony, it’s the law of the stronger — or the smarter — and things are no different inside the Castle.</t>
  </si>
  <si>
    <t>Jak wieprzowina</t>
  </si>
  <si>
    <t>Od zawsze miałaś talent do wsypywania innych. Tu donosik, tu skarga, tu obywatelska sumienność. Ale pewnego razu przyskrzyniłaś prawdziwego zwyrola i można by powiedzieć, że kapusiostwo było nie dość, że uzasadnione, to jeszcze dobrym uczynkiem. Mówili na niego Zdzieracz. I raz, gdy śledziłaś go do jego kryjówki gdy ciągnął podejrzanie ciężki worek (a nuż jakieś skarby?) zobaczyłaś widok, który śnić ci się miał po nocach jeszcze latami. Otóż okazało się, że Twój "koleżka" robi kiełbaski z ludziny. Niektóre pewnie sam zjada. Powiedziałaś straży i celnikom kiedy udać się do niego na kontrolę i cyk - już mieli na niego haka. Niestety nie doczekałaś egzekucji, bo cóż - sama znalazłaś się pod barierą. Ale pewnie odrąbali mu głowę, czy coś. No, na pewno tutaj go nie ma. Bo nie ma, prawda?</t>
  </si>
  <si>
    <t>Ah, służyć na Zamku. Tam — pod dachami, gdzie nie leje się woda z góry, a jedzenie pachnie lepiej niż gnijący chleb w slumsach. Ale w Kolonii nawet służba to przywilej. A miejsca są już zajęte. Zwłaszcza przez tych, co już lata wynoszą garnki, zmywają podłogi i znają zamkowe korytarze jak własną kieszeń. Jeśli chcesz się tam dostać, musisz zrobić miejsce. Pijąc sobie podpiwek (czy raczej szczyny) w karczmie do twojego ucha wpadła rozmowa dwóch skazańców, którzy najwyraźniej mieli jakieś dojścia wyżej. Podobno Zevan, który teraz trzyma służbę za karki nie jest delikatnym mocodawcą, który klepie wszystkich po rzyci. Nie, nie - u niego równie łatwo można zostać wyniesionym do łask magnatów jak i wylecieć na zbity pysk nazad do kopalni. Podobno przypomniano sobie, że służący to tylko taki ładniej ubrany kopacz, a tych drugich przecież zawsze brakuje. Poza tym, pod barierą nikt nie jest nie do zastąpienia. Może wystarczy podsłuchać coś brudnego, może popchnąć go do błędu. A może trzeba będzie... po prostu ordynarnie donieść do Zevana? Skromny sługa? Może. Ale ktoś inny musi odejść, żebyś mógł wejść. W Kolonii panuje prawo silniejszego albo prawo sprytniejszego i nie inaczej mają się sprawy na Zamku. A ty? Ty masz strzępki informacji, które mogą ci pomóc osiągnąć ten cel albo które możesz sprzedać komuś, dla kogo służyć u Gomeza to marzenie.
Podczas pałowania przez strażników za zbytnie zbliżanie się do zamku, doszło do Twoich uszu, że Anik wiele zrobi za bagienne ziele, a także, że Na (Imię) widziano jak przekazuje jakieś paczki cieniowi. W lecznicy zaś dzielący z tobą niedolę umierający kopacz zarzekał się, że Faust gadał z Najemnikiem tak, jakby było to coś tajnego, a na dodatek cały czas żył tym, że to właśnie Faust podał zatruty kielich Magnusowi na uczcie na Bagnie. No i jest jeszcze Tanka, która niby trafiła tu za hazard, ale jakoś nie widziałaś jej żeby grała dużo w kości. To tylko strzępki informacji, liście wirujące na wietrze, które do niczego NIE WYSTARCZĄ, ale... jeśli pokopiesz, albo ktoś pokopie, może odkryć naprawdę dobry powód żeby skrócić kolejkę czekania do oddychania czymś innym niż błoto, brud i pot.</t>
  </si>
  <si>
    <t>Naprawa</t>
  </si>
  <si>
    <t>Wtedy to był świetny plan. Pieniądze od Nolana miały trafić do Stone’a – za naprawę narzędzi. Ale trafiły… gdzie indziej. Do twojej kieszeni. List, który sfingowałeś był tak dobry, że ten idiota dał ci jeszcze napiwek, żebyś miał coś dla siebie. Stone nigdy nie dostał rudy, Nolan nigdy się nie dowiedział. A przynajmniej tak ci się wydawało. Mijały kolejne tygodnie. Mijały miesiące. Ale coś się zmieniło w sposobie, w jaki Nolan na ciebie patrzy. Może tylko się domyśla. Może wie. A może… ktoś mu powiedział. Czy z kimś dzieliłeś się tym triumfem? Czy w euforii postawiłeś komuś piwo, chełpiąc się oszustwem? Nie jesteś idiotą. Wiesz, że jeśli Nolan uzna, że go wydymałeś — to nie przyjdzie rozmawiać.
Nie będzie się wykłócał. Po prostu znajdzie sposób, żebyś skończył z kilofem w gardle gdzieś na dolnym poziomie kopalni.
Czy musisz coś zrobić? Naprawić sytuację. Odciągnąć uwagę. Może podrzucić nowy temat, nowego wroga. A może… oddać część tego, co ukradłeś, i liczyć, że przymknie oko? Z drugiej strony, Hycel rozumem nie grzeszy, więc może po prostu ci się wydaje, a twoja paranoja dokłada swoje do tego wszystkiego? W końcu najczęściej wpadają ci, którzy przyznają się sami.</t>
  </si>
  <si>
    <t>Eddie go jeszcze podkręca mówiąc, że NOlan jest wkurwiony</t>
  </si>
  <si>
    <t>Fechmistrz</t>
  </si>
  <si>
    <t>W tej kopalni wszystko można komuś zabrać – oprócz umiejętności. A ty chcesz mieć coś, czego nie odbierze ci nikt. Nie chcesz być już tylko kolejnym kopaczem z łopatą i pękiem nerwów. Chcesz się nauczyć władania mieczem. Prawdziwie. Skutecznie. Słyszałeś o Mario Majestro. Mówią, że to prawdziwy mistrz miecza z Varantu, którego musieli złapać w dziesiątkę. Mówią, że Maćko i Varg trafili do straży właśnie dzięki jego naukom i ciosom, jakich ich nauczył, a które zaimponowały samemu Thorusowi tak bardzo, że wcielił ich w swoje szeregi. Że potrafił ich nie tylko nauczyć, jak ciąć i parować — ale jak myśleć jak wojownik.
Tylko że Majestro nie uczy każdego. Trzeba mieć coś, co nazywa potencjałem… cokolwiek to znaczy. A może po prostu trzeba wiedzieć, jak do niego dotrzeć, jak poprosić — albo czym zapłacić. Ty chcesz się uczyć, bo z mieczem w dłoni będziesz kimś więcej niż tylko kopaczem. Będziesz kimś, z kim się liczą. A może… kimś, kogo się boją?</t>
  </si>
  <si>
    <t>W samo południe</t>
  </si>
  <si>
    <t>Zaczęło się od głupich przechwałek, od kilku głębszych i ciętego języka, a skończyło jak zwykle. Ten przeklęty kopacz uzurpował sobie tytuł najsilniejszego i najmocniejszego wśród kopaczy. Nie mogłeś mu tak po prostu dać strzępić języka. Eddy podszepnął ci rozwiązanie, na którego od razu przystałeś - pojedynek, który rozwiąże wszystkie spory. Data została wyznaczona na piątek w samo południe pod drzewem na polanie przy Nowym Obozie. Szkoda tylko, że byłeś tak pijany, że nie pamiętasz jak się nazywał. Chyba coś na "S". No, ale - czy to ważne? Wszystko wyjaśni się na ubitej ziemi do pierwszej krwi.</t>
  </si>
  <si>
    <t>Klasyczny circle Jerk</t>
  </si>
  <si>
    <t>Zaczęło się od głupich przechwałek, od kilku głębszych i ciętego języka, a skończyło jak zwykle. Ten przeklęty kopacz uzurpował sobie tytuł najsilniejszego i najmocniejszego wśród kopaczy. Nie mogłeś mu tak po prostu dać strzępić języka. Eddy podszepnął ci rozwiązanie, na którego od razu przystałeś - pojedynek, który rozwiąże wszystkie spory. Data została wyznaczona na piątek w samo południe pod drzewem na polanie przy Nowym Obozie. Szkoda tylko, że byłeś tak pijany, że nie pamiętasz jak się nazywał. Chyba coś na "H". No, ale - czy to ważne? Wszystko wyjaśni się na ubitej ziemi do pierwszej krwi.</t>
  </si>
  <si>
    <t>Zaczęło się od głupich przechwałek, od kilku głębszych i ciętego języka, a skończyło jak zwykle. Ten przeklęty kopacz uzurpował sobie tytuł najsilniejszego i najmocniejszego wśród kopaczy. Nie mogłeś mu tak po prostu dać strzępić języka. Eddy podszepnął ci rozwiązanie, na którego od razu przystałeś - pojedynek, który rozwiąże wszystkie spory. Data została wyznaczona na piątek w samo południe pod drzewem na polanie przy Nowym Obozie. Szkoda tylko, że byłeś tak pijany, że nie pamiętasz jak się nazywał. Chyba coś na "B". No, ale - czy to ważne? Wszystko wyjaśni się na ubitej ziemi do pierwszej krwi.</t>
  </si>
  <si>
    <t>Nolan dropped just one sentence as he passed by during the shift: “Thursday, half past midnight. The Fight Club place. Alone.” He gave you no time to ask questions. He didn’t say what it was about. But from his tone, it was clear this wasn’t a request. Whatever happens — better not be late.</t>
  </si>
  <si>
    <t>Święto Kilofa</t>
  </si>
  <si>
    <t>Z pokoleń na pokolenie, z rąk do rąk – kilof to nie tylko narzędzie, to symbol. Pracy, przetrwania, a dla niektórych i nadziei na lepsze jutro. Święto Kilofa to najważniejsze wydarzenie w życiu Kopalni. To wtedy na chwilę milkną szczęki pełzaczy, a nawet strażnicy patrzą na kopaczy z lekkim przymrużeniem oka. To czas wspomnień o tych, co zostali w szybach na zawsze, o pierwszym uderzeniu w rudę i o ostatnim oddechu przed zejściem pod ziemię. To dzień, w którym kopacze opowiadają sobie historie, śpiewają, piją i – jeśli starczy odwagi – mierzą się w zawodach siły, sprytu i wytrzymałości.
W tym roku Święto Kilofa rozpoczyna się w czwartek o 16:00 na Slumsach. Przynieś to, co masz najlepszego – nie chodzi o kosztowności, ale o serce. Może będzie pokaz starych narzędzi, może improwizowane walki, a może tylko wspólny podpiwek i śmiech. Jedno jest pewne: Kto nie świętuje z braćmi z kopalni, ten nigdy nie zrozumie, co to znaczy żyć pod ziemią.</t>
  </si>
  <si>
    <t>Wojny Kuchenne</t>
  </si>
  <si>
    <t>Ostatnia wizyta w karczmie przyniosła ci garść ciekawych informacji. Otóż wygląda na to, że Snaf nie jest już tak bardzo lubiany w Starym Obozie odkąd zmienił barwy na niebiesko. Staroobozowy karczmarz wypowiadał się o nim bardzo niepochlebnie, a na dodatek wspominał, że ten brodaty skurwiel "ukradł" mu przepisy - między innymi na potrawkę z chrząszcza właśnie. Być może warto podejść do niego i zaoferować pomoc? Zniżka na piwo nigdy nie zaszkodzi, a okazja przecież wręcz sama pcha się do rąk.</t>
  </si>
  <si>
    <t>Sześć stóp pod ziemią</t>
  </si>
  <si>
    <t>Może i nie miałaś pięknego życia. Nie było też ono czyste. Może i nieco niemoralne, ale przecież z Twojej perspektywy uczciwe. A przede wszystkim - wolne. Do nikogo nie należałaś. Sama podejmowałaś decyzje. A teraz? Teraz wszystko Ci zabrali. Monotonnia dnia powszedniego przegryza się nawet przez Twoje mury i odporną skórę tworzoną warstwa po warstwie odkąd byłaś małą dziewczynką. Kiedyś mogłaś wstać i spojrzeć sobie w oczy, a teraz to, co codziennie widzisz to oczy tych samych oprawców wpatrzonych w to, czy dobrze machasz kilofem. Co gorsza - wpadła też jedyna osoba, którą kiedykolwiek nazywałaś przyjaciółką - Szufla. Innos raczy wiedzieć gdzie się podziała. I tak trwałaś. Tak, to dobre określenie. Nawet jeśli pojawili się nowi ludzie i nowe okazje, a ty nigdy nie unikałaś cieżkiej pracy łopatą, to poczucie straty wierciło cię nieprzyjemnie w żołądku. Przecież nigdy nie zostawiałaś spraw... niezakopanych.
Tak przynajmniej było dopóki na jednej z nocnych, kopaczowych popijaw w Slumsach nie poznałaś Cienia Kazika. Człowiek ten pochylił się nad Twoją przeszłością. Wydawał się wiedzieć co, kto, gdzie i z kim, a jednocześnie był człowiekiem odpowiedzialnym za przepływ rudy w kopalni. Nie od dziś wiadomo, że kto ma rudę, ten ma i wiedzę. Kazik podszepnął Ci, że jego wróble ćwierkają mu nie tylko o tym, że pod Barierą może pojawić się w końcu Twoja, zrzucona nieco później, przyjaciółka Szufla ale w tym samym dniu możliwe, że zrzucają tego, który was wydał. Choć nie znał jego imienia, wystarczyło Ci to, co zdradził - "W". "W" jak "Wtyka". Tak zaczynało się miano Twojej niedoli. Kazik, jako człowiek pełen zasobów ma też pomysł na to jak ukarać donosiciela. Sprawić, żeby poczuł jak to jest gdy ktoś odbiera ci wybór. Gdy nie zostaje już nic. Gdy znajdujesz się sześć stóp pod ziemią.
Teraz wystarczy tylko czyhać na Szuflę, zgarnąć ją i pójść do Kazika na trzeźwo dogadać szczegóły.</t>
  </si>
  <si>
    <t>Wolrad (Skazaniec) wkopał Hienę i Szuflę pod barierę. Dziewczyny się mszczą (pod nadzorem MG) wykopując mu grób i zatraszając. Szufla i Hiena biorą Wolrada na stronę i pod amuletem beliara (nadzór MG) grożą mu śmiercią jeżeli nie odkupi swoich win</t>
  </si>
  <si>
    <t>Skrzypek na Dachu</t>
  </si>
  <si>
    <t>Nigdy nie zapomnisz tej parszywej mordy człowieka, który nie dość, że okantował Cię w karty, to jeszcze okradł. Może i w życiu nie miałeś wiele, ale to co wypracowałeś, to własnymi rękami. A on przywłaszczył sobie to, na czym ty spędziłeś długie godziny krwi i potu, by wreszcie swoją krwawicą spuścić trochę pary po trudnej robocie. Rwałeś się, rzucałeś, ale Cię zatrzymali, a przeklęty oszust wyszedł w ciemną noc. Zorientowałeś się po prostu za późno. Ale teraz już wiesz. Nie mówiąc już o tym, że usłyszałeś też jak na niego wołają - Skrzypek.
Czekasz więc. Na ten dzień, w którym i on - przeklęty złodziej - wpadnie. Oni wszyscy wpadają prędzej, czy później, a wtedy czeka ich Bariera. I Twoje zaciśnięte pięści, które wymierzą karę. I zobaczymy jak cieńko zaśpiewa ten Skrzypek.</t>
  </si>
  <si>
    <t>Skrzypek (Skazaniec) okantował w karty.</t>
  </si>
  <si>
    <t>Some things are best left buried</t>
  </si>
  <si>
    <t>You still remember the way his body looked when you found him. Half-dead. Bleeding. Slumped in the mud like a broken tool. The bandits had taken his gear, his food, even his boots — but not his life. Not yet. Reapers were circling, waiting for nightfall, smelling a tasty dinner composed of human flesh and screams of anguish. It was you and two other diggers from Geldern who carried him out. It would’ve been easier to leave him. Hell, maybe smarter. But you didn’t. Wolrad was his name, which he coughed with his own blood among desperate call for aid.
You dragged him out with your own hands, patched what you could, and shoved what was left of him back to alchemist Renwick and his grandchild - Adela. You didn’t do it for a favor. You did it because you don’t leave your own in the dirt. Now you landed in this hellhole. Different place. Same rules — or at least, that's what you thought.
But you’re hearing stories. That Wolrad did someone dirty. That his past finally caught up to him and he's landing under the Barrier. Suddenly people are talking about graves being dug before the body’s cold. You don’t know if it's true. You don't know if he's still the same man you pulled out of the earth. But you remember that night. And you remember who you were. Maybe he needs someone to remind him or maybe you need to decide whether that night still means something… or if it’s just another thing best left buried.</t>
  </si>
  <si>
    <t>Shador uratował Wolrada przed napadem.</t>
  </si>
  <si>
    <t>Samson</t>
  </si>
  <si>
    <t>Ludzie mówią, że siłą drzemie w... no właśnie - w czym? Bo dla waszego wspólnego druha, przyjaciela i członka Brygady - Basena, najwyraźniej były to włosy. Mało osób widziało go po tym, jak mu odrosły, ale mówią, że zaszył się gdzieś w którymś z innych obozów. Tylko, czy w ogóle go poznacie zarośniętego? Przecież jego łysa glacka z gołą babą to był znak rozpoznawczy. Basen. Wycierał ręce o ubranie innych. Miał zęby jak grabie i śmiał się jak ktoś, kto zjadł coś zepsutego i dopiero teraz zdał sobie z tego sprawę. Ale był swój. Z Drugiej. Zawsze pierwszy do akcji i ostatni do konsekwencji. A teraz jest... no właśnie, gdzie? Jedno wiecie na pewno - problem zaczął się, gdy za sprawą łaski Adanosa odrosły mu włosy. No to może wystarczy mu je po prostu zgolić i czar pryśnie? A wy znowu będziecie dzielić piwo na spółkę ze starym, dobrym Basenem?</t>
  </si>
  <si>
    <t>Ekipa chce zgolić Basena i przywrócić go do brygady</t>
  </si>
  <si>
    <t>Krew na rękach</t>
  </si>
  <si>
    <t>Nie wiadomo właściwie, kiedy to się zaczęło. Może to było tamto spojrzenie? Tamta cisza po zbyt śmiałym żarcie przy bramie, gdy wyciągnęliście żeton i uniknęliście przeszukania? Może jedno słowo rzucone nie w tę stronę? Albo coś, co miało zostać wśród was dotarło dalej? Może ten dowcip o zmieniającej szaty świni? Tak czy inaczej — podpadliście Dantemu, a z ludźmi jego pokroju nie rozmawia się dwa razy. Nie przysłał strażników. Nie przysłał zbirów. Przysłał, kurwa, Calora. Maga Ognia. Ubrany jak kapłan, mówiący jak urzędnik, patrzący jak kat.
Dopadł was w kopalni. Nie krzyczał, nie unosił głosu. Wsunął się między was jak cień, jak kurz, jak gorące powietrze, którego nie sposób wypchnąć z płuc. Akurat wychodziliście po szychcie, przeliczając ile rudy wam zostanie, gdy jego sylwetka przysłoniła wam promienie słońca upragnionego wyjścia z tej morderczej dziury. Powiedział tylko jedno słowo. Rozkaz. Jakaś inkantacja. Coś zawibrowało w powietrzu i nagle wasze ciała owionęła magia, niczym niechciany papierosowy dym. Nici firmamentu tego świata zacisnęły się na waszych nadgarstkach, waszych gardzielach i waszych sercach. Nie mogliście się oprzeć. Nie mogliście się zatrzymać. Usłyszeliście "Kop".
Więc zaczęliście kopać, z przerażeniem obserwując jak wasze bezwolne ciała nie sięgają po kilofy. Nie sięgają po łopaty, a wsuwają spracowane dłonie w ubitą, twardą glebę pełną kamieni. Pękające paznokcie drżały wam hukiem w uszach, jakby ktoś wystrzelił z armaty. Krew powoli zaczęła wypływać z naderwanych płatów skóry, kiedy wy rękami tworzyliście nowe wyrwy w kopalnianym podłożu. Kopaliście. Nie dla rudy. Nie dla zapłaty. Nie ze strachu nawet. Po prostu… nie mogliście przestać. Gdy łzy bólu zaczęły same spływać wam po policzkach, zmywając brud codzienności on tylko stał i patrzył. Bez wzruszenia. Jakby patrzył na mechanizm, który właśnie spełnia swoje zadanie.
Teraz jesteście wolni. Ciało boli. Dłonie są jedną wielką raną. Ale ból to nie najgorsze. Najgorsze jest to, że coś w was pękło. Nie wiadomo, czy złość, czy wstyd. Nie wiadomo, czy chęć zemsty, czy strach, że jeśli to się powtórzy — nie będziecie w stanie się powstrzymać. Bo czasem kara nie przychodzi z mieczem. Czasem ma imię, tytuł i zimny głos, który mówi tylko jedno: „Kop". Pytanie tylko, czy przy następnym spotkaniu, krew na waszych rękach faktycznie będzie wasza?</t>
  </si>
  <si>
    <t>Ekipa podpada Dantemu, a ten nasyła na nich maga Calora, który dopada ich w kopalni i zaklęciem Rozkazu zmusza do kopania w ziemi aż do krwi.</t>
  </si>
  <si>
    <t>Out of the blue</t>
  </si>
  <si>
    <t>You thought that life in the Colony was hard... it just got harder. Or at least more difficult. You just found out that this damned thief who stole your jewelry and got hit in the hear by you went to the Colony. What is worse... he is a Mercenary now. You feel a deep satisfaction when you see his wounded face, but inside you are frightented of him. You didn't kill him but now sometimes you think that you think you should. Who know what he thinks in his broken head? And maybe if you killed him then - you wouldn't lost your precious jewelry sack. You don't have any proofs that he stole it, but it got lost just after the fight, who else could it be? Or maybe... Maybe if he stole it he still got it? It would be pretty easy to snuck it undr Barrier. It would be a dangerous mission to try to retrieve it somehow... But maybe its worth it?</t>
  </si>
  <si>
    <t>quest z ekipą najemników Hajduszoboszlo Team  - Wojtek, Morwen i Gizmo. Pocak ranił Gizmo i Gizmo chce sie zemścić, Morwen ma woreczek z biżuterią ale nie przyznaje się do tego, bo to ona wywołała bójkę w której Gizmo został ranny i boi się przyznać</t>
  </si>
  <si>
    <t>Jak nie drzwiami, to oknem</t>
  </si>
  <si>
    <t>Ile można znosić? Sverh nie rozumie słowa "dość". Macie wrażenie, że za każdym razem, gdy was mija, spluwa pod nogi. Za każdym razem, gdy się odezwie, czuć tylko pogardę i zimną satysfakcję w jego głosie, jakby wasze plecy, połamane przez szychty, były dla niego śmieszną anegdotą. Zalazł za skórę nie tylko wam, a ze wszystkich strażników jest jednym z najgorszych. Normalnie kulilibyście się dalej w swojej norze,  ale wy nie jesteście już tymi samymi kopaczami, co parę tygodni temu. Wam też coś w środku pękło. Może godność, może cierpliwość? A może po prostu czas, żeby coś z tym zrobić. Pomysł był prosty: Nie łapać za kilofy, nie dawać się prowokować, bo tak tylko napytacie sobie biedy w sali tortur. Za to  można zatrudnić kogoś, kto wie, jak zadać ból. Tak, żeby się Sverh nie pozbierał.
Wojtek — najemnik z Nowego Obozu. Mówią, że ma rękę jak dźwig i serce jak kamień. Może za odpowiednią garść rudy nie zapyta "dlaczego?". Po prostu stanie naprzeciw Sverha, wyzwie go na pojedynek i pokaże wszystkim, że kopacz też ma ręce. I wpływy. To na pewno nie będzie tanie. I nie będzie bezpieczne. Ale każda opowieść ma swój przełom i może właśnie wasz nosi niebieskie brawy?
Wasz strach jeszcze się nie ulotnił, ale już zaczyna pachnieć jak odwaga. Sverh jeszcze chodzi dumny, ale wy już czujecie wstrząs pod Barierą, gdy upadnie na ziemię. Za każdą podniesioną karcącą pałę strażnika. Za każdą bryłkę, którą wam zabierał. Za was samych. Teraz tylko trzeba spotkać się z Werezem i dogadać szczegoły transakcji. Pierwsze informacje już sobie przekazaliście, wystarczy dobić targu, zebrać rudę i... patrzeć jak Sverh skamle o litość.</t>
  </si>
  <si>
    <t>Sins of our Fathers</t>
  </si>
  <si>
    <t>You didn’t cry for him. Not when they came to tell you that your uncle — your father’s brother — was dead. Not when you saw the forge — half-burned, still reeking of iron and smoke. Not even when your father looked away and muttered, “Shame. He was a hard bastard.” You didn’t cry because you were young, and in your family, tears were weakness. But something stayed inside you. Something that never got to scream itself out of your lungs. You always knew something was wrong with how he died. They said it was an accident — slipped, passed out, something collapsed. But he wasn’t the type to fall without a reason. Not that man. Not in his forge. Then came life. Other places. Other dirt. You grew with that grief hidden well at the bottom of your heart and when you almost had it buried in the ashes of the past, they told you the truth. A journeyman of your uncle murdered him for the money that was never paid out. For a purse of coin. For some gold you lost your loved one. They never caught him, told you only that he always had this weird wooden fish by his side. Last thing they've seen when he lost them in the woods. What could a man do in such menace? You had to focus on your own issues. Issues that led you to the colony. And the memory started to fade. But as on old saying says, all kinds of bastards eventually meet under the Barrier.</t>
  </si>
  <si>
    <t>Brat ojca Shadora był Kowalem i miał czeladknika, któremu zalegał z pieniędzmi. Ten dłużnik to Rdzawy, który zabił tego kowala. Rybka, jaką kupił Rdzawy od ojca Shadora pozwoli Shadorowi zidentyfikować Rdzawego.</t>
  </si>
  <si>
    <t>Lekki Sen</t>
  </si>
  <si>
    <t>Myślałeś, że to zwykły błąd. Zwój jak zwój — palce ci się pomyliły, ktoś źle podał, ktoś źle przeczytał. Zamiast snu — światło. Zamiast ciszy — oślepiający błysk i wszyscy orientują się, że próbujesz coś zdziałać. Wtedy jeszcze nie wiedziałeś, że to nie był przypadek. Ale ślady prowadzą wyraźnie. Rozmowa, podsłuchane słowo, łańcuch rąk. Mimochodem rzucone informacje o innym nietrafionym zwoju. Trop skierował cię do Nowego Obozu. Tylko tu nie ma strażników, nie ma żetonów ochrony i nie ma, może pod butem, ale spokojnej egzystencji. Tu jest wolność. A wolność oznacza także rozwiązywanie spraw samemu. Musisz być ostrożny. Z drugiej strony, gdyby tylko udało ci się znaleźć  kogoś, kto kilka miesięcy temu przemycał zwoje... niestety, Twoje tygodnie zbierania informacji nie dały nic oprócz kilku łomotów, kilku siniaków i paru mieszków rudy zabranych przez Szkodników. No, wiesz, że to najemnik, a wyłapane przy ognisku brzmienie rymowało się z "ster". Albo może tak kończyło? Tak, czy siak - jeszcze trochę i zemsta może być Twoja. Zemsta za to, że twój plan legł w gruzach, a teraz zdychasz tu powoli w Kolonii, z każdym dniem mając coraz mniej sił na następny.</t>
  </si>
  <si>
    <t>Zwój "Snu", który okazał się zwojem Światła sprzedała Inger</t>
  </si>
  <si>
    <t>Na Zdrowie!</t>
  </si>
  <si>
    <t>Ogień trzaskał cicho, trawiąc kolejne polana, pochlaniając drzewce i sypiąc dookoła iskrami, ulatującymi w bezgwiezdną, ciepłą noc. W Slumsach niekiedy było naprawdę przyjemnie, o ile ktoś właśnie nie umierał od ran po polowaniu, czy nie błagał o litość torturowany za miskę potrawki z chrząszcza. Siedziałeś dopijając ostatnie piwo, na które było Cię stać i zastanawiałeś się nad tym jak właściwie tu trafiłeś. Ten pierdolony, podrzucony eliksir. I to nawet jeszcze nie było nic wielkiego, tylko jakiś domorosły alchemik przemycający trucizny. Westchnąłeś, przesunąłeś dłonią po głowie, a do ogniska przysiadł się jakiś Skazaniec. Jeden z tych, którzy jeszcze szukali swojego miejsca. Nie miałeś ochoty na rozmowy, ale w sumie lepsze to, niż pić do lustra. Od słowa do słowa, od zapewnień po przestrogi, dotarliście do Nowego Obozu. Opowiedział ci jak to jakiś narwany pseudo-alchemik od niebieskich zapłacił ci, żebyś przetestował jego nowy dekokt. Czyżby to był ten sam skurwysyn przez którego tu siedzisz? Wypytałeś skazańca, ale dużo więcej niestety nie wiedział. Na pewno był to Najemnik. Z drugiej strony, czy trzeba więcej, żeby rozpocząć poszukiwania? Żeby popytać trochę więcej? Być może, jakimś zrządzeniem losu, uda ci się zemścić tu, pod Barierą? Piwo jakoś nagle zaczeło smakować jeszcze lepiej.</t>
  </si>
  <si>
    <t>Ten eliksir to coś chałupniczego. I przy ognisku usłyszałeś, że w nowym obozowie jest domorosły alchemik od trucizn.</t>
  </si>
  <si>
    <t>Pomoc z niebios</t>
  </si>
  <si>
    <t>Gdy trafiłeś do Kolonii, jeszcze nie wiedziałeś, jak szybko można tu zginąć. Wilk dopadł cię na szlaku — nie zdążyłeś nawet krzyknąć. Już czułeś jego oddech na szyi, kiedy znikąd spadła ognista kula. Rozdarła powietrze, spaliła bestię, a po chwili nastała cisza. Mag Ognia przeszedł obok bez słowa. Może nawet cię nie zauważył. Ale dla ciebie to nie miało znaczenia. Ocalałeś. Przez ogień. Przez Innosa. Od tamtej chwili nosisz w sobie święty lęk — i niewzruszoną lojalność wobec Magów Ognia. Zwłaszcza wobec Messmera, tego, który cię wtedy uratował. Dla ciebie nie jest tylko magiem. Jest dowodem, że Innos widzi. I czasem interweniuje.
Może ty także powinieneś jakoś zainterweniować? Niedawno powstała klasztorna banda cieni, może to jest droga dla Ciebie? Tylko jak się z nimi skontaktować, jak dla nich pracować? Z drugiej strony, słyszałeś, że Ravill z Drugiej Brygady także chce pomagać magom. Być może udało by wam się dogadać i zrobić coś wspólnie ku chwale Innosa?</t>
  </si>
  <si>
    <t>Mesmer to mag, który rzucił tą kulę ognia</t>
  </si>
  <si>
    <t>Przecież nikt nie zauważy</t>
  </si>
  <si>
    <t>Mówią, że wszystko w Kolonii ma swoją cenę. Ale ty wiesz lepiej — wszystko w Kolonii ma też swoją wagę. Łopata, w tej części świata, waży zaś więcej niż złoto. Zwłaszcza jeśli nie trafia tam, gdzie powinna. Nowy szyb miał już powstawać. Mieliście schodzić niżej, kopać głębiej, wydobywać więcej — dla Gomeza, dla straży, dla tych wszystkich, którzy dyktują, co zjecie i kiedy będziecie mogli się przespać. Dla tych, którzy zabierają wam to, co zdzierając sobie skórę do krwi wydobywacie w pocie czoła. Szybu jednak nie ma. Bo łopaty znikają. Nie przypadkiem.
Ty je bierzesz. Ty je sprzedajesz. Ty wszystko ustawiłeś. Werez, najemnik z Nowego Obozu — twardziel o paskudnej twarzy i jeszcze gorszym poczuciu humoru — pośrednik Homera, który potrzebował rudy. Ty też potrzebowałeś rudy, a Homer potrzebował sprzętu. A Kopalnia? Cóż, Kopalnia zawsze czegoś potrzebuje i ma aż nadto. Plan jest prosty. O 11:00 w piątek, za mostem — na rozdrożu w stronę Placu Wymian — masz spotkać się z Werezem. Masz mu zanieść próbkę nowych narzędzi. Trzy sztuki, żeby pokazać towar Homerowi. Jeśli wszystko pójdzie zgodnie z planem, o 20:00 tego samego dnia wracacie na miejsce z całym transportem pozostałych siedmiu i sprzedajecie z dużym zyskiem.
Ale nim do tego dojdzie, musisz działać. Musisz wyciągnąć łopaty z kopalni. Musisz zebrać ludzi, którym możesz zaufać — albo którzy są zbyt głupi, by zrozumieć, co się dzieje. Musisz przenieść sprzęt, nie budząc podejrzeń. I musisz to zrobić w miejscu, gdzie każdy kąt ma oczy, a każda ściana — uszy. Straż może jeszcze nic nie wie. Ale z pewnością nie trzeba wiele, by Gomez zainteresował się dlaczego jego nowy szyb wygląda jak zabawa w piaskownicy. Niech tylko jeden strażnik zauważy brak — i wtedy wszystko runie. Zamiast złota, będzie krew. Ale jeśli się uda… Jeśli wszystko wypali… To może w końcu będzie cię stać, żeby nie musieć więcej fedrować. Może w końcu staniesz się kimś więcej niż tylko Sową w swojej ciasnej dziupli. Tylko zorganizuj gang. Działaj szybko. Działaj cicho. I nie spóźnij się na piątkową noc.</t>
  </si>
  <si>
    <t>Polowanie na żbika</t>
  </si>
  <si>
    <t>Nie biliście się z nim. Nie krzyczeliście. Nie odgryzaliście się słowem. Cień z paskudnym uśmiechem i szybkim ciosem. Potrafił jedną ręką przytrzymać, a drugą przeszukać. I wszystko tak, żeby straż nic nie widziała. A nawet jak widziała — i tak nie zrobiła nic. Bo Żbik był „swój”. Bo Żbik „znał ludzi”. Bo Żbik zawsze wiedział, kiedy przestać, żeby nie zostawić śladu — oprócz tego wewnątrz. Pogardzał, krzyczał, zachowywał się tak, jakby to on był Ianem. Upokarzał, zapewne żeby samemu poczuć się lepiej. Może to już czas by znalazł sobie nowe ofiary? By skierował swój gniew, żółć, czy cokolwiek w nim tkwi, gdzie indziej? Zemsta? Może. Ale nie taka głupia, nie teraz. Zemsta powinna być zimna, cicha, dobrze przemyślana. Jak zwój, oczytany po cichu, zanim ofiara zorientuje się, że go użyto. Macie czas. Macie powody. I teraz macie siebie nawzajem.</t>
  </si>
  <si>
    <t>Cień Żbik wyżywa się na kopaczach.</t>
  </si>
  <si>
    <t>Nie ma nic za darmo?</t>
  </si>
  <si>
    <t>Noel znalazło was samo. Pojawiło się któregoś dnia w Slumsach, z tą swoją chustą, uśmiechem i spojrzeniem, które — choć ciepłe — zdawało się widzieć przez ludzi na wylot. Z dobrocią, która wydawała się aż podejrzana, bo przecież jesteście tak nawykli do noży w plecach, że paradoksalnie z jeszcze większą nieufnością traktujecie każdego, kto podchodzi od przodu albo tego noża nie ma w ręku. Nie pytało, kim jesteście, ile rudy macie i komu podpadliście. Po prostu podało wam kubek. Koc. Kilka słów. Opatrzyło uszkodzone na szychcie kolano Galma, dało dekokt na kaszel od pyłu u Kłody i wsparło rozgrzewjącą zupą Hirama. Każdemu zostawiła garstkę rudy. Nie nachalnie. Nie jak ktoś, kto czegoś chce. Ale w Kolonii nie ma ludzi bez interesu. A wy nie jesteście dziećmi. Wiecie, jak działa ten świat. Coś przecież musi chcieć. Z resztą, nawet jak nie chce, to na pewno nie powinno zajmować się wami za darmo, więc może można na nie donieść? Każdy w Kolonii ma wrogów i Noel może też?
Ludzie w Slumsach już zaczynają szeptać. Że "Noel się nimi zajmuje", że "znalazła sobie swoich", że może planuje coś większego. Może to tylko plotki. Może ktoś zazdrości. Ale jedno jest pewne — jesteście na ustach innych. A to bywa niebezpieczne. Czy trafiło wam się coś dobrego w tym syfie pod Barierą? Czy jesteście tylko biednymi kopaczątkami, które jeszcze nie wiedzą, że się je prowadzi jak na smyczy? Czas pewnie pokaże, a od was zależy decyzja, czy uznacie to za przejaw dobrej woli, czy okrutny podstęp, któremu należy przeciwdziałać.</t>
  </si>
  <si>
    <t>Brakuje trzeciego kopacza</t>
  </si>
  <si>
    <t>Wędrówka z Cieniem</t>
  </si>
  <si>
    <t xml:space="preserve">Ile można znosić? Arne nie rozumie słowa "dość". Macie wrażenie, że za każdym razem, gdy was mija, spluwa pod nogi. Za każdym razem, gdy się odezwie, czuć tylko pogardę i zimną satysfakcję w jego głosie, jakby wasze plecy, połamane przez szychty, były dla niego śmieszną anegdotą. Zalazł za skórę nie tylko wam, a ze wszystkich strażników jest jednym z najgorszych. Wykorzystuje swoją pozycję w najgorszy sposób, zagarniajac sobie waszą krwawicę, wyrosłą na waszych pęcherzach i pocie. Normalnie kulilibyście się dalej w swojej norze,  ale wy nie jesteście już tymi samymi kopaczami, co parę tygodni temu. Wam też coś w środku pękło. Może godność, może cierpliwość? A może po prostu czas, żeby coś z tym zrobić. Pomysł był prosty: Nie łapać za kilofy, nie dawać się prowokować, bo tak tylko napytacie sobie biedy w sali tortur. Za to można zatrudnić kogoś, kto wie, jak zadać ból. Tak, żeby Arne się nie pozbierał.
Cienie. Kryjące się w wąskich alejkach węże, którym nie zawsze po drodze ze strażnikami, a którzy potrafią się zająć kimś, kto za dużo podskakuje. Biorąc pod uwagę ostatnie wydarzenia, może wystarczy im podszepnąć, że Arne wspiera Magnusa i nawet dadzą wam zniżkę? Tak, czy inaczej trzeba się spotkać z Pasco i ustalić detale. Wstępne informacje już przekazane, trzeba tylko dobić targu. I Arne poczuje, że kopacze nie są workami do bicia i okradania. Że mają ręce i wpływy.
</t>
  </si>
  <si>
    <t>Wilcza Przysługa</t>
  </si>
  <si>
    <t>W zeszłym tygodniu Agrest pomogła Tobie pocerować uszkodzone przez mole palto. W podziękowaniu, pod jej nieobecność zostawiłaś jej bukiet nazbieranych na bagnach kwiatów. Co dziwne - od tej pory nie odzywa się do Ciebie i chyba próbuje unikać. Czy naprawdę spodziewała się, że zapłacisz jej większą sumę za 5 minut roboty?</t>
  </si>
  <si>
    <t>Nadia była osobą, która w podziękowaniu zostawiła trujące kwiaty dla Agrest</t>
  </si>
  <si>
    <t>Klątwa Latającego Jaszczura</t>
  </si>
  <si>
    <t>Kilka dni po porzuceniu służby w Królewskiej Flocie Handlowej Wasz okręt, Latający Jaszczur, zatrzymał się w małym porcie by uzupełnić zapasy. Potężnie pijany opowiedziałeś jednemu gościowi, który przedstawił się jako Fregata Wasze plany. Następnego dnia przejęci zostaliście przez królewski okręt. Nie wiesz, czy te wydarzenia miały coś ze sobą wspólnego, ale nie daje Ci to spokoju. A Twój znajomek w Khorinis, którego poprosiłeś o czujność niedawno przesłał Ci wiadomość. Niejaki Fregata wyląduje w Kolonii. Jeśli chcesz poznać prawdę o swojej przeszłości i zdecydować, kogo winić za swój los - warto pociągnąć go za język.</t>
  </si>
  <si>
    <t xml:space="preserve">Merik w przeszłości wypaplał w porcie plany jego okrętu. Następnego dnia ich statek został przechwycony przez siły królewskie. Okazuje się, że Fregata (w tym roku schodzi jako skazaniec) sprzedawał informacje króleswskim statkom. </t>
  </si>
  <si>
    <t>Ostatnia Kolejka (Art)</t>
  </si>
  <si>
    <t>Okoliczności Twojego skazania na prace w Górniczej Dolinie owiane tajemnicą są również dla Ciebie. Sprawa nie daje Ci spokoju, bo otrucie, do kórego doszło w Twojej karczmie mogło być skutkiem przeterminowanego mięsa dostarczonego przez tego oszusta Lobarta - Ciebie również po tej potrawce wywinęło na lewą stronę bebechy. Równie dobrze jednak mogło dojść do celowego otrucia, a wtedy - nie zmieni to Twojej sytuacji, ale przynajmniej sumienie będziesz miał czyste. Co ciekawe, kolega Einar, Twój były klient w chwili upalonej szczerości przyznał się do tego, że utrupił paru ludzi na zlecenie i za to wpadł... A na mocarza to on nie wygląda...</t>
  </si>
  <si>
    <t xml:space="preserve">Art wylądował w Górniczej Dolinie ze względu na zatrucie, do którego doszło w jego Karczmie. Nie jest pewien, czy to z jego winy, w końcu stosował od dawna przeterminowane produkty, czy został wrobiony.  W nowym cżłonku Kopaczy rozpoznaje stałego bywalca swjej karczmy, który pochwalił się pod wpływem, że wpadł za trucicielstwo. </t>
  </si>
  <si>
    <t>Ostatnia Kolejka (EInar)</t>
  </si>
  <si>
    <t>Życie w podziemnym światku Khorinis nie należało nigdy do łatwych. Po ostatnim zleceniu od Jaszczura i Selkesa sprawa się posypała. Otruty w karczmie zamożny kupiec miał równie wpływowych znajomych, którzy wynajęli zakapiorów do rozwiązania zagadaki morderstwa, a Twoi zleceniodawcy rozpłynęli się w powietrzu, odmawiając pomocy. Wylądowałeś w Góniczej Dolinie. Co ciekawe, Twój los już niedługo potem przytrafił się również Twoim zleceniodawcom - a teraz siedzą, rozpychając się łokciami w szeregach  Straży Starego Obozu.</t>
  </si>
  <si>
    <t>Einar wpadł za trucicielstwa, których dokonywał na zlecenie Jaszczura i Selkesa</t>
  </si>
  <si>
    <t>Pancerz z pełzacza - mózg operacji</t>
  </si>
  <si>
    <t>Ile można się męczyć w tej kolonii... Nawet te wszystkie potencjalne awanse nie pozwolą Ci się ustawić. Trzeba to jakoś przyspieszyć.
Właśnie wtedy pojawił się on — przypadkowy gość z Nowego Obozu. Pijany, bredzący coś o zbroi z pancerzy pełzaczy. Nawet nie pamiętasz, kim był, ale wystarczyło jedno zdanie. Pomysł zaskoczył. Żyła złota. Trwalsze niż skóra, cenniejsze niż stal. Jeśli się uda, sam Gomez pośle ludzi, żeby ją kupić. A Ty? Ty już nie będziesz musieć się użerać z żadnymi awansami czy wojnami klasowymi.
To równanie jest proste — jeśli rozwiążesz wszystkie zmienne, wynikiem jesteś Ty, ustawiony na resztę życia.
Tylko że… tych zmiennych jest więcej, niż się wydawało. Nie każdy pełzacz ma pancerz godny zbroi. Z większości bestii ze Starej Kopalni nic sensownego nie wyciągniesz. Potrzeba silniejszych. Głębiej schowanych. Takich, których zwykli kopacze nawet nie ruszają.
Z pomocą przyszła Akania — niegłupia Szkodniczka z Nowego Obozu, znająca się na alchemii. Poznał Cię z nią Bobek - dobry kumpel z Nowego Obozu. Podjęła się wykonania receptury chcąć płatności z góry - akurat sakiewka była pusta, więc dałeś jej jakąś książkę kupioną od Nowicjuszy z Bractwa - zacząłeś coś tam rozszyfrowywać, ale zdążyłeś niestety odkryć tylko kawałek receptury. Teraz jeszcze tylko gotową recepturę (oby) musisz odebrać i będziesz mógł brać się do roboty.
Tylko cholera, nawet jeżeli ona ma ten przepis, da Ci go i przygotujesz ten specyfik, to czy strażnicy w ogóle wpuszczą Cię z ludźmi do kopalni pod jakimś pretekstem poza Twoimi zmianami? Czy uda się zabić tego pełzacza? Czy ktoś przy tym nie zginie?
To dopiero początek problemów.</t>
  </si>
  <si>
    <t>Pomysł od gracza - przygotowanie polowań na spejclane pełzacze, zbieranie z nich płytek, czyszczenie ich i dalsza obrobka w obozie.</t>
  </si>
  <si>
    <t>Ten Chudy to jednak ma łeb na karku – kto by wpadł na to, żeby z tych paskudnych potworów produkować pancerze? Jak mu się to uda, to pół kolonii będzie ustawiać się do niego w kolejce po zbroje - będzie mógł pływać w rudzie jak Magnat! Nie ma lepszego momentu, żeby się do tego przyłączyć – może coś skapnie i dla Ciebie...</t>
  </si>
  <si>
    <t>W związku z projektem Chudego w jego brygadzie panują różne nastroje...</t>
  </si>
  <si>
    <t>Czy Chudy zwariował? Klejenie pancerza z pełzaczy? Trudno stwierdzić, co mu tak zamroczyło umysł, żeby wpaść na tak idiotyczny pomysł... Nie dość, że nikt rozsądny nie zapłaci za to ani jednej bryłki, to jeszcze ściąga na wszystkich większe ryzyko w kopalni i poza nią. Lepiej trzymać się od niego z daleka – nigdy nie wiadomo, co wymyśli następne.</t>
  </si>
  <si>
    <t>Chudy chce robić zbroje z pancerzy pełzaczy – jedni twierdzą, że postradał zmysły, inni, że zostanie królem kolonii. A Ty? Wiesz jedno - to nieistotne. Jeżeli większa grupa się tym zainteresuje to prędzej czy później na pewno ktoś zostanie ranny, może ktoś zginie, a wtedy... może coś zostawi po sobie bez opieki? A może informacje o postępach zaciekawią kogoś, kto dobrze zapłaci? Lepiej się nie wychylać – trzymać rękę na pulsie i czekać na okazję.</t>
  </si>
  <si>
    <t>Po zapachu krwi</t>
  </si>
  <si>
    <t>Polować nauczyłeś się jeszcze za dzieciaka, przed zesłaniem pod Barierę było to Twoje główne źródło utrzymania. Po zesłaniu liczyłeś, że z braku królewskiej kontroli oraz swobodnej migracji zwierzyny wgłąb Doliny, a brakiem możliwości powrotu, w końcu wrócisz do swojej profesjii. Problemem okazało się, że w Kolonii łowiectwo jest regulowane nie mniej restrykcyjnie, jak poza nią. Nad najlepszymi terenami łowieckimi kontrolę sprawują Łowcy, w kórych łaski powinieneś się wkupić. Udowodnij im, że potrafisz zapolować, zdobądź od kogoś i ofiaruj im jakieś trofeum, lub chociaż upoluj parę Ścierwojadów i przynieś Łowcom ich mięso - jeśli zwrócą na Ciebie uwagę, może poprą Twoje starania i przyjmą do swojego grona?</t>
  </si>
  <si>
    <t>Galm, by wkupić się w łaski Łowców i zostać zabranym na polowanie chce udowodnić, co potrafi</t>
  </si>
  <si>
    <t>Rodzinna pamiątka</t>
  </si>
  <si>
    <t>Zamówiłeś miecz. Ale nie taki zwykły. Coś ubogo zdobionego. Stary, zużyty i z rdzawym nalotem na klindzie. Ale jest to MIECZ. A Eddy jak zwykle pokpił sprawę i zbywa Cię półsłówkami. Stary szahraj wziął nawet zaliczkę! Czas go wyjaśnić i odebrać w końcu towar, za który zapłaciłeś.</t>
  </si>
  <si>
    <t>Oddałem miecz Piżmakowi, lub przegrał Piżmak, zależy od momentu. W każdym razie broń ma Gravo i musi go odzyskać</t>
  </si>
  <si>
    <t>No i fajrant</t>
  </si>
  <si>
    <t>Eh ci Kopacze, cały czas się tak spinają, żeby zapierdalać w tej kopalni, a i tak prawie żaden nie ma z tego żadnego zysku. A Ty? A Ty od pierwszego dnia skutecznie unikasz wszystkich strażników, a swoim kumplom z brygady zawsze dajesz radę wcisnąć wymówkę lub odpowiednio odwrócić ich uwagę. Wszystko za każdym razem idzie gładko, a Ty żyjesz sobie na spokojnie bez najmniejszych problemów - nawet jak ktoś zaczyna do Ciebie sapać, to jedno piwo na zgodę załatwia temat. Do tego tylu nowych się ostatnio pojawia, że jeszcze łatwiej jest zniknąć w tłumie. Oni będą na Ciebie pracowali, a Ty się na spokojnie zajmiesz swoimi sprawami…</t>
  </si>
  <si>
    <t>Yarem to leniwa dupa</t>
  </si>
  <si>
    <t>No i fajrant???!!!</t>
  </si>
  <si>
    <t>No wiadomo, że raz ktoś może nie stawić się na szychtę… nawet dwa, zwłaszcza jeżeli narzekał potem na to, że strażnicy go przetrzymywali na trakcie albo nawet trzy jak wrócił z siniakiem i oskarżał o to szkodników. Ale to nie może już być przypadek, jak nie widziałeś Yarema w kopalni nigdy! Harujesz za tego bęcwała każdego dnia, a on jedyne co, to od czasu do czasu postawi Ci piwo w karczmie. Chyba czas najwyższy nauczyć go, co dzieje się z tymi, którzy migają się od obowiązków. Ale najlepiej to zrobić na oczach całych slumsów, najlepiej z kimś jeszcze, bo po jednym wpierdolu gość się za szybko podniesie i za szybko wróci do swojego błogiego życia.</t>
  </si>
  <si>
    <t>Ktoś zauważył, że Yarem to leniwa dupa</t>
  </si>
  <si>
    <t>Bojowe Zadanie (Grzebor)</t>
  </si>
  <si>
    <t>Dwa dni temu, wieczorem przy wejściu do karczmy zatrzymał Cię Eddy. W nikłym świetle pochodni zobaczyłeś przekrwione, rozbiegane spojrzenie małych oczu, dość nietypowe w zwykle opanowanym i uśmiechniętym obliczu. "Oho, kolejny raz poszedł w cug. Szybko to on nie skończy, ostatnim razem leciał tak przez tydzień." Zaciągnął Cię do zaułka zatkał usta ręką i pokazał zapisaną kartę pergaminu z niebieską, lakową pieczęcią. "CZY WIDZISZ CO TU JEST NAPISANE?!" wychrypiał. Niestety - nie potrafisz czytać. Oczywiście nie mogłeś się do tego przyznać w takiej chwili. Przytaknąłeś. "Taaaaak. Zatem musisz udać się do Nowego Obozu i rzeczywiście sprawdzić, czy Golem zdradza i przekazuje informacje Szkodnikom. Z listu wynika, że kontaktuje się z kimś przez jednego z Kretów. Zajmij się tym. Za Gomeza!" Po czym walnął Cię łokciem w oko i uciekł. Od tej pory nie rozmawialiście, a Eddy udaje, jakby do spotkania nigdy nie doszło. Choć przyłapałeś go więcej niż raz na ukradkowym spojrzeniu w Twoją stronę...</t>
  </si>
  <si>
    <t>Eddy nie ufa Golemowi (lub jest w delirce)</t>
  </si>
  <si>
    <t>Bojowe zadanie (Galm)</t>
  </si>
  <si>
    <t>Dwa dni temu, kiedy wracałeś wieczorem do slumsów, ktoś niespodziewanie wciągnął Cię w krzaki tuż przy wejściu. Już szykowałeś się do uderzenia, gdy rozpoznałeś twarz — to był Golem. Śmierdziało od niego gorzałą, a spojrzenie miał dzikie i wściekłe.
“Ani *hip* słowa, kurwa” warknął, chwytając Cię za fraki. “Pamiętasz, kto Ci pomógł po przybyciu do tych slumsów, kiedy byłeś jeszcze zwykłym Skazańcem, *hip* co nie? No to pora spłacić dług. Zostaw ten mieszek, nie chodzi o *hip* bryłki! Masz dla mnie coś zrobić. I nikomu ani słowa, jasne? Zaciągnął nosem, zachwiał się lekko i ściszył głos “Eddy... ostatnio coś za *hip* bardzo zbratał się z ludźmi z Sekty. Co chwilę do nich łazi i coś mi tu nie pasuje. Dowiedz się, co knuje i zdaj mi *hip* raport. Wszystko, co usłyszysz." Po tych słowach odepchnął Cię z powrotem na ścieżkę. Kiedy oddalałeś się w stronę obozu, słyszałeś jeszcze z krzaków ostatnie przekleństwa, przerywane głośną czkawką.
Następnego dnia Golem wstał dopiero po południu. Kilka razy zawiesił na Tobie spojrzenie dłużej niż zwykle, ale nie odezwał się ani słowem.</t>
  </si>
  <si>
    <t>Golem nie ufa Eddyemu (lub zaszkodzilo mu ziele)</t>
  </si>
  <si>
    <t>Bojowe zadanie (Kafar)</t>
  </si>
  <si>
    <t>Nolan rzadko bierze Kopaczy na stronę na serio. A już na pewno nieczęsto sięga po kogoś takiego jak ty — człowieka od spraw prostych, bezpośrednich, takich, gdzie nie trzeba się domyślać, co trzeba zrobić. A jednak tym razem było inaczej. Zawołał cię do siebie, rzucił krótkie spojrzenie spod zmarszczonego czoła i powiedział coś, co od tamtej pory nie może opuścić ci głowy. "Patrz. Nie daj się zauważyć. I jeśli coś kombinują — chcę wiedzieć pierwszy.". Nie było krzyku, nie było tłumaczenia. Widziałeś to w jego oczach — napięcie, którego wcześniej tam nie było, ostrożność podszytą czymś głębszym niż tylko rutynowe podejrzenia. Tym razem nie chodziło o byle szemraną wymianę rudy, nie o przemytniczy kanał czy zawalone zeznania któregoś z Kopaczy. Chodziło o Eddiego i Golema. Dwóch ludzi, którzy w Slumsach znaczą więcej, niż chcieliby się przyznać. Jeden — zawsze z uśmiechem, zawsze tam, gdzie coś się dzieje, jakby znał każdy sekret, zanim jeszcze zostanie wypowiedziany. Drugi — twardy, zimny jak stal w szybie, a mimo to dziwnie skuteczny w rozplątywaniu najtrudniejszych spraw. Obaj sprawiają wrażenie, jakby działali dla wspólnego dobra. Jednak z jakiegoś powodu Nolan im nie ufa. Masz więc chodzić, patrzeć, słuchać. Nie jak strażnik. Jak Kopacz. To nie jest robota, którą rozwiązuje się siłą. Tu nie ma miejsca na gniew, na impulsy, na rozbijanie głów o ściany. Tu liczy się chłód. Cierpliwość. Skupienie. I gotowość do działania wtedy, gdy wszyscy inni jeszcze się łudzą, że nic się nie dzieje. Oczy i uszy otwarte w trakcie kolonijnego życia. Nie masz ich śledzić, ale gdy ktoś wypowie ich imię, masz nasłuchiwać. Podobno mają swoich posłańców - ich imiona na pewno będą dla Nolana cenne.
Bo może się okazać, że Eddie i Golem wcale nie są tymi, za których ich bierzecie. Może pod maską obozowej równowagi kryje się coś znacznie bardziej kruchliwego, a Nolan po prostu czuje, że grunt zaczyna się ruszać. A jeśli tak jest — jeśli to wszystko naprawdę się rozpada — to ty masz być pierwszym, który to zauważy. Pierwszym, który uprzedzi. I choć zadanie wydaje się proste, wiesz, że nie będzie takie. Bo w tym obozie nikt nie mówi całej prawdy, a największe zagrożenia nie rzucają cienia.</t>
  </si>
  <si>
    <t>Swampy Business</t>
  </si>
  <si>
    <t>You've been trying to keep a low profile during under the Barrier - nobody in prison likes convicted officers. But now the time has come to act swiftly. You have spotted one guy that has to remember your face - he was the one you shot in the ass with you crossbow, nicknamed Bełt. He is a part of the Old Camp Guards and he promised to beat the shit out of you if he ever sees you again. You have to act fast - your friends Maruda and Gor Na Ragu are always eager to help. You should strike before Bełt recognises you.</t>
  </si>
  <si>
    <t>Za krótko</t>
  </si>
  <si>
    <t>Od kiedy wylądowałeś pod Barierą jedna myśl nie daje Ci spokoju. Twój przekręt z linami nie należał może do najbardziej kreatywnych, ale wydawał się na tyle niegroźny, by móc przedstawić go jako zwykły błąd. Do czasu, gdy grupa wojskowych połamała sobie nogi podczas ćwiczeń korzystając z przykrótkich lin zakupionych od Ciebie. Od kiedy siedzisz tu, każde spojrzenie na nawet zwykły, konopny sznur przyprawia Cię o zawrót głowy i pytanie - "Czy jestem naprawdę takim zbrodniarzem, jakim mnie namalowano w związku z moim błędem?"</t>
  </si>
  <si>
    <t>Ma paranoję związaną z linami</t>
  </si>
  <si>
    <t>Lista Lehmara</t>
  </si>
  <si>
    <t xml:space="preserve">Jeśli bycie zrzuconym do Górniczej Doliny może mieć jakieś plusy, to jest nim fakt, że pod Barierą nie sięgają macki tego skurwysyna, lichwiarza Lehmara z Dzielnicy Portowej. A w każdym razie tak było do wczoraj, gdy dotarł do Ciebie przemycony gryps o treści "Nie myśl, że zapomniałem o tobie i twoim małym długu. Zacznij odkładać, pracusiu" podbite lakowaną pieczęcią z literą "L" w koronie. </t>
  </si>
  <si>
    <t>Lehmar ma swoją wtykę w Kolonii. Zaczyna zbierać długi</t>
  </si>
  <si>
    <t>Benito. Eksplorator, szaleniec, odkrywca miejsc, do których nawet Cienie nie zaglądają bez wsparcia drużyny i solidnej sakiewki. Ten sam Benito, który przeżył noc w zawalonej części kopalni, zmylił trop cieniostworowi i wrócił żywy z ruin, teraz chce się z wami spotkać. Nie podaje szczegółów. Nie mówi, czego szuka. Ale jego oczy... jego oczy zdradzają, że zobaczył coś, co nie daje mu spokoju. Może to coś cennego? Może przeklętego? Może obie rzeczy naraz. Spotkanie odbędzie się po Święcie Kilofa, o 20:00 w Czwartek, pod drzewem za areną kilofa. Benito mówił, że "dopiero wtedy będzie bezpiecznie". Nie spodziewajcie się oficjalnego zaproszenia. Kto ma wiedzieć – ten wie.
Kto ma przyjść – ten przyjdzie. A kto nie przyjdzie... ten nigdy się nie dowie, co stracił.</t>
  </si>
  <si>
    <t>1. Imiona magów i skreślona Lux.
2. Mam dowód na winę M.
3. Już wiem co z imieniem Golema
4. 5 Obelisków?
5. To Hormiga.
6. Lepiej żeby Thorus i Gomez nie weszli do kopalni.
7. To Sowa.
8. Wstanie ich za dużo, zabraknie nam mocy.
9. Kielich Gomeza?
10. Hasło to Kareta.</t>
  </si>
  <si>
    <t>Rzeczy Piżmaka, lista Piżmaka</t>
  </si>
  <si>
    <t>Kwestia Lojalności</t>
  </si>
  <si>
    <t>"Wtyka" to słowo, które dobrze znasz. Przez zaciśnięte zęby, przez siniaki, przez krzyk, którego nikt nie mógł usłyszeć. Przez metaliczny błysk przerdzewiałych obcęg i dłonie, które nie pytały o pozwolenie. Nie byłaś wtedy wystarczająco użyteczna. Nie powiedziałaś im tyle, ile chcieli. Chociaż może po prostu nie chciałaś powiedzieć czegoś, co było zbyt bliskie Twojemu sercu? To nieważne. Liczy się tylko jedno – nie przyniosłaś informacji.
Pamiętasz twarz Thorusa. Kamienną, nieprzeniknioną. Jakby nigdy nie był człowiekiem, a jedynie ożywioną do przynoszenia ci kaźni statuą. Jakby istniał tylko jako narzędzie do wymuszania porządku z karcącą reką nie znając zawahania ni litości. Twoja lojalność została zakwestionowana – a lojalność w Kolonii to nie jest idea, to nie jest zasada. To waluta. Spłacana czynem albo krwią. Wiesz, jak boli milczenie. Wiesz, jak piecze w płucach brak powietrza, gdy usta dławią się wodą. Znasz smak własnej juchy po kopnięciach w żebra. I wiesz, że to się może powtórzyć, jeżeli nie udowodnisz znowu swojej użyteczności. Jeżeli znowu będziesz zbyt długo milczeć, Thorus uzna, że jesteś zbędna i być może zamilkniesz na zawsze. W końcu wiesz zbyt dużo.
Pytanie tylko, co chcesz mu powiedzieć? Gdzie leży Twoje serce i ile waży? Pytania, jakie kłębią się w Twojej głowie to dokładnie te same, które zadaje sobie co dnia każdy kopacz. Czy masz coś, co jest warte więcej niż życie? Coś, czego nie zabiorą ci kopnięcia, uderzenia, twarde pięści i kije? Godność? Honor? Przyjaźń? Lojalność. Ha. Względem kogo? To, co odróżnia Ciebie od przeciętnego kopacza, to to, że na szczęście i nieszczęście zarazem, Twoim mocodawcą, katem i sędzią jest sam Thorus. Zaszczuci, ale dobrzy towarzysze? Czy władczy i oferujący komfort dowódca? Serce, czy rozum? To wszystko kwestia lojalności, a za ciebie nikt tej decyzji nie podejmie.</t>
  </si>
  <si>
    <t>Czego oczy nie widzą...</t>
  </si>
  <si>
    <t>Nie pamiętasz, kiedy dokładnie ci pomogła — może to było po którymś z tych cięższych dni, gdy wszystko zdawało się walić, a ty ledwo trzymałeś się na nogach? Może po prostu przyniosła wodę, może podała ci zioła, może zaszyła ranę, którą zostawiła ci czyjaś pięść? Klara. Delikatna, spokojna, uważna. Pomocna ponad miarę. Zostawiła ci coś do picia, uśmiechnęła się i odeszła, jakby to była najzwyklejsza rzecz na świecie. Tutaj, pod tą cholerną barierą, pod którą ojciec sprzedałby syna, byleby tylko przetrwać jeszcze jeden dzień. Pytanie tylko, czy oddasz tę przysługę? Czy jej pomożesz? Czy może unasz, że to jej wina, że pomogła ci za darmo? W końcu jak ktoś jest frajerem w Kolonii, to frajerem umrze, czyż nie?</t>
  </si>
  <si>
    <t>Klara pomogła Hiramowi i rozpoznaje w nim człowieka, który sprzedał jej kuzynkę jako niewolnicę dla Króla. Z zemsty zatruwa go trucizną, która po trzech dniach sprawi, że nie będzie mógł kłamać. Jeżeli odwzajemni jej przysługę, może podać mu antidotum.</t>
  </si>
  <si>
    <t>Plecy</t>
  </si>
  <si>
    <t>Tydzień temu podszedł do Ciebie członek Straży i zapytał czy potrzebujesz ochrony. Gdy rezolutnie zapytałeś przed czym, odpowiedź padła "Przed tym, co ci zrobię, jeśli tej ochrony nie wykupisz." Tak zaczęła się Twoja znajomość ze Strażnikiem Bełtem, która dość szybko zamieniła się we współpracę. Bełt załatwia Ci żeton ochrony za frajer, pod warunkiem, że codziennie nagonisz mu innych Kopaczy chętnych do wykupienia takiego dla siebie. Bełta musiały przycisnąć szarże, bo nawet obiecał odpalić Ci mały procent z każdego sprzedanego, jeśli dostarczysz mu co najmniej pięciu. To dobrze mieć plecy u góry, więc warto zadbać o taką znajomość.</t>
  </si>
  <si>
    <t>Jurgen ma umowę ze Strażnikiem Bełtem, w ramach której dostaje od niego za darmo żeton ochrony i procent od każdego nagonionego przez siebie Kopacza. Tylko teraz czas znaleźć Kopaczy gotowych zapłacić</t>
  </si>
  <si>
    <t>Nordmarscy malarze (Fenek)</t>
  </si>
  <si>
    <t>Rzadko trafia się w Kolonii na drugiego Nordmarczyka, ale akurat wśród kopaczy miałeś to szczęście. Łajza, podobnie jak Ty, pochodzi z Klanu Wilka i również nosi w sobie artystyczną duszę. Nieraz zdarzało się Wam przesiadywać razem w karczmie, rozmawiając o ojczyźnie, rysunkach i mapach.
Pewnego wieczoru, po kilku kuflach za dużo, zaczęliście się przekrzykiwać, które z Was ma większy talent. Musieliście być naprawdę głośni, bo zwróciliście uwagę jednego z Najemników — Loczasa. Podszedł, rzucił Wam obojgu całkiem przyzwoitą zaliczkę i oznajmił, że większa nagroda trafi do tego z Was, którego rysunek lepiej spełni jego oczekiwania.
Problem w tym, że całą zaliczkę przepiliście i to ostatnie co pamiętasz... bo nie masz też pojęcia, co dokładnie Wam zlecił. Łajza twierdzi, że też nic nie może sobie przypomnieć — choć równie dobrze może tylko udawać. Sam Loczas raczej nie będzie w nastroju do wyjaśnień, a bardziej do bicia, jeśli nie dowiecie się, o co mu chodziło. Może chociaż któryś z jego kumpli podpowie Wam, czego się spodziewał...</t>
  </si>
  <si>
    <t>Jeden z najemników zlecił dwójce artystów przygotowanie pewnego szkicu. Niestety z powodu alkoholu nie pamiętają co to miało być, a zrobić rysunek trzeba, żeby nie dostać w twarz.</t>
  </si>
  <si>
    <t>Nordmarscy malarze (Łajza)</t>
  </si>
  <si>
    <t>Rzadko trafia się w Kolonii na drugiego Nordmarczyka, ale przypadkiem jeden się znalazł — Fenek. Też z Klanu Wilka, też z głową pełną marzeń i ręką do rysunku. Od razu złapaliście wspólny język, a karczma szybko stała się Waszym drugim domem. Siedzieliście tam godzinami, gadając o tym, co zostawiliście za sobą, o sztuce, o mapach, o wszystkim, co przypominało o świecie poza tym magicznym więzieniem.
Pewnej nocy — po wyjątkowo długim siedzeniu nad kuflem — zaczęliście się przekrzykiwać, które z Was ma więcej talentu. Trochę za głośno, bo zwróciliście uwagę Loczasa, jednego z Najemników. Gość podszedł, rzucił sakiewkami i dał Wam wzywanie - kto dostarczy mu lepszy rysunek, ten zgarnie od niego nagrodę.
Zaliczkę przyjęliście bez wahania. I bez namysłu ją przepiliście. Problem pojawił się następnego dnia, kiedy wstałaś z bólem głowy i dziurami w pamięci. Zdecydowanie pamiętasz, że Loczas zlecił Wam wykonanie konkretnego rysunku, tylko co to mogło być… Fenek też wydaje się nie pamiętać tego, ale może tylko udaje, żeby wygrać.
Tak czy inaczej, trzeba działać. Loczas nie wygląda na kogoś, kto grzecznie przypomni, co miał na myśli — prędzej przypomni pięścią. Może któryś z jego kumpli rzuci jakimś tropem… zanim zrobi się naprawdę nieprzyjemnie.</t>
  </si>
  <si>
    <t>Syndrom Nordmarski (Nadia)</t>
  </si>
  <si>
    <t>O swojej przeszłości nie opowiadasz za dużo, starając się zapomnieć, dać bliznom się wygoić. Byłaś już przekonana, że straszliwe okoliczności porwania z rodzinnego Lago już nigdy nie wrócą, by prześladować Cię po nocach, gdy niespodziewanie... Wróciły w świetle dnia. Niewiele pamiętasz ze straszliwych tygodni spędzonych na pokładzie pirackiego okrętu, ale zapamiętałaś twarz przydzielonego do pilnowania Cię oprycha. A teraz ta twarz chodzi sobie, przyczepiona do reszty obrzydliwej postury. Jego imię brzmi Krótki Josif i na dźwięk jego głosu ciarki przebiegają Ci po plecach zimnymi falami.</t>
  </si>
  <si>
    <t xml:space="preserve">Nadia, straumatyzowana porwaniem przez okręt na którym służył Josif, na jego widok dostaje ataku paniki. Mimo, iż traktował ją zawsze z szacunkiem i dzielił się z nią swoimi racjami, dbał o jej komfort, to jednak był twarzą, którą najczęściej oglądała na tym okręcie. </t>
  </si>
  <si>
    <t>Syndrom Nordmarski (Josif)</t>
  </si>
  <si>
    <t>Podczas krótkiej kariery korsarskiej zdarzyło się Wam napaść na miasteczko Lago u wybrzeża Varantu. Porwaliście stamtąd kilkanaście osób z myślą sprzedania jako niewolników dla Nordmarskich Klanów. Jedną z porwanych była młoda dziewczyna, której wygląd przypomniał Ci Twoją siostrę, która zmarła na ospę wiele lat temu - i podobnie jak chorowitej siostrze, postanowiłeś w miarę możliwości ulżyć porwanej - dzieląc się z nią żywnością, dbając o to, by miała suche miejsce i ciepły koc do snu. Po dotarciu do Nordmaru przekazana została karawanie kupieckiej i dowodzącemu nią zamożnemu Nordmarczykowi. Zdążyłeś już o tej historii zapomnieć, gdy nagle któregoś dnia jej twarz ukazała się... w Kopalni! Zdążyłeś  dowiedzieć się, że nazywa się Nadia - i że podobnie jak wtedy, na okręcie, może potrzebować Twojej pomocy. A czas odsiadki jest dobrym momentem, by odpłacić za błędy przeszłości.</t>
  </si>
  <si>
    <t xml:space="preserve">Josif, w którym widok Nadii obudził wyrzuty sumienia i wspomnienia trudnych lat na morzu chce się jej jakoś odwdzięczyć. </t>
  </si>
  <si>
    <t>W Cieniu chłodniej</t>
  </si>
  <si>
    <t>Tyle pracowaliście w Kopalni razem, a teraz po kolei wszyscy odchodzą z Twojej brygady w każdym możliwym kierunku. Może już czas również ruszyć do przodu? W końcu wejść na wyższy stopień hierarchii i uwolnić się od machania kilofem. Dastan i Kira na pewno nie zapomnieli wspólnych szycht i powinni być chętni do pomocy… Wystarczy tylko wykonać pierwszy ruch i poprosić o ich wsparcie.</t>
  </si>
  <si>
    <t>Pchamy Lotkę do awansowania w SO.</t>
  </si>
  <si>
    <t>Wyjść z Cienia</t>
  </si>
  <si>
    <t>Zapierdalasz jak wół od miesięcy w tej kopalni, a pomimo tego dalej jesteś tylko „tym kopaczem”. Żadnych przywilejów, żadnego szacunku, żadnych zmian. Masz już tego dość. Może już pora by wziąć się siebie i w końcu zmienić swoje życie na wygodniejsze i mniej zapylające płuca? Jakiś czas temu słyszałeś, że Cienie Drozd i Klara wspominały o jakimś pomyśle przy aptece związanym z cyrulikami, do którego by potrzebowali więcej ludzi. Może właśnie tu pojawi się szansa?</t>
  </si>
  <si>
    <t>Podesłanie Dodo pod wątek apteki z projektem ruchomego szpitala na wyjścia plus zahaczka do szukania poparcia wśród Cieni</t>
  </si>
  <si>
    <t>Niektórzy mówią, że mały pies szczeka najgłośniej...</t>
  </si>
  <si>
    <t>... I mają rację, jakiś czas temu, w zasadzie z nikąd w Twoim życiu pojawił się Kolen. Większość nieznajomych przychodzi z interesem albo po informacje, ale nie ta cholera. Ten ćwok z miejsca zaczął Cię oskarżać o morderstwo jakiegoś starego dziada co go nigdy nie widziałaś. Od słowa do słowa udało się psiaka spławić, czasem spojrzał spode łba w Twoim kierunku ale generalnie na jakiś czas miałaś spokój. Kilka dni temu temat wrócił - znalazłaś list, napisany niestarannie i niepodpisany o jakimś Arjanie który został skazany na Kolonię Karną Khorinis za zabicie jakiegoś najemnika w podeszłym wieku starym sprawdzonym sposobem - to jest nożem w serce. Coś Ci świta, że Kolen chyba szczekał o czymś podobnym, a może to kolejny ślepy trop? Przekazałaś mu tą informację, trochę zrezygnowany podziękował niechętnie i nawet sypnął rudą na piwo... Co się stało później? CHolera wie, list wyrzuciłaś - nie Twój cyrk, nie Twoje małpy.</t>
  </si>
  <si>
    <t>Wpisał Mortis</t>
  </si>
  <si>
    <t>Biznes na medal?</t>
  </si>
  <si>
    <t>Wychodzi na to, że nie tylko znacie się na swojej robocie, ale bardzo dobrze wiecie jakie mieć podejście do administracji. Gomez nic od Was nie chciał, a wy i tak dorzucałyście się do jego skarbca. Nie pozostało to zapomniane, ba, nawet lepiej - macie takie chody w administracji, jakbyście były wzorem prowadzenia biznesu w Starym Obozie. Może łącznie nie był to majątek, ale sam gest sprawił, że wasz status się wyróżnia. A przecież wiadomo, że w Starym Obozie nie liczy się wielkość skarbca, a status. A na tym można na prawdę wiele ugrać.</t>
  </si>
  <si>
    <t>Wpisał Anders</t>
  </si>
  <si>
    <t>Stawka nie gra roli</t>
  </si>
  <si>
    <t>Pod Barierą hazard to więcej niż rozrywka. To religia. Tętnienie, wyznaczające puls życia. To jedyny moment, kiedy nie liczy się siła miecza, a pewność ręki, zimna krew i błysk w oku. A ty? Ty oddychasz hazardem. Właściwie cała Kolonia powinna ci się kłaniać, tak masz ułożony byt dzięki kościom, kartom i zakładom. Czy grasz czysto, czy nie - nie ma to znaczenia. Ty po prostu wygrywasz. Ale ile można opędzlowywać frajerów z marnych bryłek? Do Twoich uszu doszło niedawno, że nadchodzi to, czego od dawna nie było. W piątek o północy, kiedy nocne chłody wyciszą nawet strażników, na piętrze karczmy odbędzie się turniej. Ale nie byle jaki – to będzie hazardowe święto, walka o respekt i o bogactwo, które może odmienić czyjeś życie. Dwanaście osób, które zaprezentują żeton wstępu, zostanie dopuszczone do stołu i zagra. O wszystko.
Jak zdobyć żeton? Oczywiście wygrać. Dwa są u Klina, w Nowym Obozie. Jeden u Eddiego pod Kopalnią. Jeden u Gravo i dwa u Belfra na Slumsach. Dwa u Karczmarza w Starym Obozie. Dwa u kowala Stone'a, który uwielbia organizować małe turnieje w swojej kuźni. Jeden u Zevana w zamkowych murach. Ah, no i jeden gdzieś zaginął, więc może być gdziekolwiek pod Barierą. Jeżeli chcesz z nimi zagrać o żeton, musisz powiedzieć hasło: "Najlepsze piekielniki są na Placu Wymian", a wtedy usłyszysz odpowiedź "Diego lubi je tylko jesienią". I grasz. Ale pamiętaj — żetony można też kraść. Jeśli masz jeden — lepiej go pilnuj. Bo w Kolonii każda wartość rodzi chciwość. Chciwość zaś zawsze w końcu doprowadza do rozlewu krwi. Do zobaczenia przy stole przy którym stawka nie gra roli.</t>
  </si>
  <si>
    <t>A imię jego… Golem (Jurgen)</t>
  </si>
  <si>
    <t>Może inni uważają go za jakiegoś obrońcę Kopaczy, ale Ty widziałeś kilka razy, jak za swoją pomoc oczekiwał opłaty. Stąd też starałeś się unikać z nim takich układów. Chociaż jedno mu musisz przyznać - potrafi się ustawić. Jakiś czas temu podczas rozmowy przy ognisku, jak poruszyłeś temat projektu Chudego na zbroję z pancerzy pełzaczy to Golem Ci wspomniał, że kiedyś miał podobny plan. Tylko, że chciał stworzyć pancerz z otoczaków - projekt oczywiście się nie udał, bo kto mądry by w kamieniu latał. Niemniej podobno właśnie przez te próby przylgnęła do niego ksywka Golem…
 Co ciekawe, chyba już każdy Kopacz zna inną genezę tego przydomku. Co ten Golem ukrywa? Albo od czego odwraca uwagę?</t>
  </si>
  <si>
    <t>Wątek easter egg - wszyscy Kopacze prbują się dowiedzieć, z jakiego powodu Golem tak się nazywa - wersji jest tyle ile Kopaczy</t>
  </si>
  <si>
    <t>A imię jego… Golem (Chudy)</t>
  </si>
  <si>
    <t>Już od dłuższego czasu postać Golema Cię zastanawia. Nie do końca wiesz co nim kieruje w Kolonii, bo trudno wytłumaczyć wszystko altruistycznymi pobudkami. Tak czy siak - bywa pomocny. W jakiś sposób ma dojścia do magicznych esencji i receptur alchemicznych, co dla Ciebie jest bardzo korzystną alternatywą do chodzenia po innych obozach. Intryguje Cię tylko jego przydomek. Podczas jednej wymiany zapytałeś go o co chodzi, a on tylko coś krótko wspomniał o tym, że kiedyś po szychcie spalił z Eddym tak dużo bagiennego ziela, że zasnął pod kopalnią na kilka dni, po czym obudził się porośniety mchem…
 No nie brzmi to jakoś wiarygodnie, ale z jakiegoś powodu to Ci opowiedział. Słyszałeś, że każdy kopacz słyszał trochę inną historię, o co tu w ogóle chodzi?</t>
  </si>
  <si>
    <t>A imię jego… Golem (Erart)</t>
  </si>
  <si>
    <t>Często z nim siedziałeś przy ognisku po ciężkim dniu pracy w kopalni, chociaż rzadko kiedy przesiadywał do białego rana. Sporo razy po tym, jak już odpoczął, to szedł w stronę Nowego Obozu, by kontynuować zabawę z niebieskimi. Chociaż nigdy nie widziałeś, żeby robił cokolwiek, by awansować, więc przynajmniej tyle.
 Od jakiegoś czasu intrygował Cię też jego przydomek… W końcu golemy to magiczne istoty przywoływane przez magów, a on jest chyba człowiekiem takim jak Ty. No musiałeś go kiedyś zapytać w końcu - ciekawość zwyciężyła. Po dłuższym zastanowieniu, nie zwracając wzroku w Twoją stronę cicho odpowiedział, że dostał ten przydomek od grupy Strażników, którzy na jego oczach zakatowali jego przyjaciela, a jemu nawet nie drgnęła powieka…
 Po skończeniu tej krótkiej opowieści wstał i chyba poszedł do namiotu. W następnych dniach Cię unikał, a Ty po zapytaniu innych Kopaczy poznałeś jeszcze więcej historii o tym imieniu, każdą inną. Dlaczego on tyle tego opowiada?</t>
  </si>
  <si>
    <t>A imię jego… Golem (Maruda)</t>
  </si>
  <si>
    <t>Golem to swój chłop. Piwka nie odmówi, a czasem i postawi. Niezbyt obchodzi Cię, co nim kieruje, dopóki dla Ciebie i Twojej brygady jest w porządku. Wziął się nawet za problemy ze strażą, a to jest warte podziwu. Tylko skąd to imię? Raz go zapytałeś o to i tylko z (dosłownie) kamienną twarzą wspomniał, że kiedyś rozbił łeb skazańcowi w kopalni kawałem skały większym niż jego głowa.
 Nie kontynuowałeś tematu, ale za to potem słyszałeś inne wersje jego historii od Kopaczy. Ciekawe, czy któraś jest prawdziwa.</t>
  </si>
  <si>
    <t>A imię jego… Golem (Leonardo)</t>
  </si>
  <si>
    <t>Jednego z tych zwykłych wieczorów - jakby na to nie patrzeć, większość dni jest taka sama w Kolonii - przysiadł się do Ciebie Golem. Od razu zaczął rozmowę na temat wina… Niestety szybko zorientowałeś się, że nie miał o takich szlachetnych trunkach nawet absolutnego minimum wiedzy… A szkoda, bo już myślałeś, że znajdziesz tu kogoś, kto doceni Twoją wiedzę i doświadczenie. Cóż, może przy kolejnym zrzucie Skazańców ktoś się trafi.
 Niemniej ta rozmowa była też okazją do tego, byś zapytał go o jedną dręczącą Cię od jakiegoś czasu rzecz. Dlaczego mówią na niego Golem? Ten po chwili ciszy odpowiedział, że wzięło się to stąd, że potrafi rozmawiać z kamieniami - kiedyś odezwał się do ruin blisko ziem orków, a one odpowiedziały trzęsieniem ziemi.
 No cóż - było to zupełnie co innego, niż to co słyszałeś od innych Kopaczy o nim. Ciekawe czemu on rozpowiada te wszystkie historie?</t>
  </si>
  <si>
    <t>A imię jego… Golem (Ravill)</t>
  </si>
  <si>
    <t>Nie było tu tylu, którzy chcieli słuchać Twojego narzekania na magów, ale Golem jakoś zawsze znajdował chwilę by wysłuchać, poratować piwkiem i też przy okazji obrobić dupy kilku magicznopozytywnym. W sumie ciekawiło Cię, czy sam miał jakieś negatywne przeżycia z magami… nie spodziewałeś się, że spotkało go to, co Ciebie, ale jego przeszłość musiała skrywać jakieś historie.
No cóż - w końcu go zapytałeś czy coś go łączy z magami. Wtedy spojrzał Ci głęboko w oczy i opowiedział Ci historię swojego imienia… Wiele lat temu zanim jeszcze trafił do Kolonii był przez jakiś czas na służbie u magów na kontynencie. Któregoś dnia jeden z nich rzucił na niego zaklęcie, które przemieniło go w magicznego golema i w tej postaci służył magom przez dobre kilka lat. Z jakiegoś powodu w końcu go wypuścili spod czaru po czym wysłali na statku do Khorinis, gdzie czekały przygotowane dokumenty skazujące na dożywocie w Kolonii Karnej. Golem nie mógł nawet spróbować się obronić… W taki sposób zaczęła się jego historia pod barierą i sta pochodzi jego przydomek.
Zdecydowanie była to ciekawa historia, ale inna od tego wszystkiego, co usłyszałeś od Kopaczy przed tym jak z nim rozmawiałeś i zdecydowanie różniąca się od opowieści, które potem uslyszałeś od Kopaczy, którzy przybyli potem.</t>
  </si>
  <si>
    <t>A imię jego… Golem (Lotka)</t>
  </si>
  <si>
    <t>Nie pamiętasz w sumie pierwszego spotkania, ale wśród Kopaczy Golem zawsze wydawał się być tym, któremu zależy na ich dobru… W pamięć zapadła Ci zwłaszcza jedna sytuacja, kiedy pewnego wieczoru usiadł przy ognisku obok Ciebie i zapytał, czy znasz żart ścierwojadzie płatnerzu. Bez dłuższego namysłu odpowiedziałaś przecząco zgodnie z prawdą. Golem tylko się uśmiechnął i zaczął opowiadać.
 Przychodzi ścierwojad płatnerz do karczmy, podchodzi do karczmarza i mówi “Witajcie karczmarzu, poproszę piwo”. Karczmarz na to podekscytowany “O cholera, gadający ścierwojad, powinieneś pracować w cyrku!”. Na co lekko zdziwiony ścierwojad “Tak? Dlaczego? Potrzebują płatnerza?”. Po krótkiej chwili wybuchłaś śmiechem tak, że prawie spadłaś z ławy.
 Potem kontynuowałaś rozmowę, aż w końcu zapytałaś sie go skąd pochodzi jego przydomek. On, z jakiegoś powodu poruszony pytaniem opowiedział coś o tym, że to dlatego, że jak chodzi to czasem jego kolana brzmią jakby były w nich kamienie ocierające się o piasek…
 Wtedy nie wnikałaś w temat, ale po pewnym czasie zorientowałaś się, że każdy Kopacz zna trochę inną genezę imienia Golem. O co może chodzić?</t>
  </si>
  <si>
    <t>A imię jego… Golem (Sójka)</t>
  </si>
  <si>
    <t>Raczej traktujesz go od dłuższego czasu neutralnie. Może jak nie patrzy, ale już nie kojarzy co się wokół dzieje to sprzątniesz mu kilka bryłek z sakiewki, ale od czasu do czasu jesteś dla niego źródłem informacji, więc nawet jakby się dowiedział o tych wszystkich bryłkach, to raczej by Ci wybaczył. W końcu podzielił się z Tobą swoją historią, to pewnie Ci ufa.
Tylko ciekawe jest to, że Tobie opowiedział, jak to niegdyś znalazł w kopalni rubin, co niestety strażnicy zauważyli, ale gdy próbowali mu go zabrać to walczył z nimi jak bestia i nie chciał rozstać się z kamieniem. Posiniaczeni strażnicy na odchodne powiedzieli tylko, że nie chcą mieć nic wspólnego z golemem, który tak strzeże swojego serca i odeszli. Stąd właśnie jego imię…
Słyszałaś jeszcze wiele historii, zupełnie innych o genezie tej ksywki, ale możliwość tego, że Golem trzyma gdzieś dalej ten rubin nie jest czymś, co byś chciała wykluczyć…</t>
  </si>
  <si>
    <t>A imię jego… Golem (Zguba)</t>
  </si>
  <si>
    <t>No, i się napije i zapali. To jest Kopacz i dobry znajomy w tej Kolonii, nie to co niektórzy… Na niego możesz liczyć przynajmniej w sprawach kielicha i blanta, bo poza tym dalej nie możesz rozgryźć, jaki jest jego cel… Z jednej strony nigdy nie widziałaś, żeby odmówił pomocy Kopaczowi, z drugiej też często stara się korzystać na każdej nowej znajomości z nowymi. Chyba po prostu stara się tu przeżyć, z mniejszą lub większą dawką altruizmu w zależności od humoru.
Ale dla Ciebie to dużego znaczenia nia ma. Tak samo, jak to, że każdemu Kopaczowi wciska kit o tym, skąd pochodzi jego imię. Tobie powiedział, że kiedyś rył w każdym miejscu, w którym kopał w Kopalni sylwetkę postaci - znak golema. Miało to rzekomo połączy rudę w magiczną istotę, ale na ten moment chyba nie zadziałało - za to do niego przywarł ten przydomek. Zamiast przywołania golema przywołał sam siebie i już Golemem pozostał.
To jedna z większych bzdur, które słyszałaś, ale przynajmniej było się z czego pośmiać…</t>
  </si>
  <si>
    <t>A imię jego… Golem (Cykuta)</t>
  </si>
  <si>
    <t>Nie potrafisz rozgryźć tego Kopacza. Niby w porządku, niby dba o interesy Kopaczy, nawet pięścią, ale coś Ci w nim nie gra. Wciąż starasz się być względem niego ostrożny, chociaż powoli zaczynasz opuszczać gardę i przekonywać się do niego. 
 Dalej jednak intryguje Cię ten dziwny przydomek. Jednego wieczoru, gdy widziałeś go już nieźle podchmielonego, wpatrującego się w walczących ze sobą w kręgu Kopaczy, coś Cię podkusiło, żeby zagadać skąd to się wzięło. Ten tylko krótko odpowiedział, że kiedyś z bratem, na którego wołali Mag jeździli po kontynencie wystawiając przedstawienia “Ja i mój Golem” i w pewnym momencie już pozostał przy tym imieniu, dla wygody.
 Wyszło potem na to, że inni kopacze słyszeli zgoła inne historie… Czy on sobie z Ciebie zadrwił? Czy Tobie powiedział prawdę, a oszukał innych?</t>
  </si>
  <si>
    <t>A imię jego… Golem (Marta)</t>
  </si>
  <si>
    <t>Nie miałaś z nim za dużo kontaktu do niedawna… Dopiero ostatnio wpadł z prośbą o zaszycie dziury w jakimś paskudnym mieszku. Widać, że był jeszcze wczorajszy i jego słowa ledwo kleiły się w jedną całość, ale dał Ci za robotę bryłki - jak każdemu, z kim o nim rozmawiałaś. Po paru godzinach wrócił po mieszek - już zdecydowanie po kąpieli w rzece albo pobliskim stawie… Ale to nie miało większego znaczenia. Zapłacił i dostał to, czego oczekiwał.
 Na odchodne zapytałaś się go tylko skąd to dziwne imię do niego przylgnęło? Z uśmiechem opisał Ci jak to kiedyś zasnął stojąc na środku Starego Obozu i z rana Cienie okrzyknęły go przebudzonym golemem, gdy w końcu się przebudził. Dziwne, bo jesteś w stanie przysiąc, że od wielu Kopaczy słyszałaś inne historie.</t>
  </si>
  <si>
    <t>A imię jego… Golem (Melgen)</t>
  </si>
  <si>
    <t>“Dobra, poczekaj, pomogę Ci, bo jeszcze bardziej rozpieprzysz sobie to kolano, potem postawisz mi piwo” po czym Golem zgarnął od Ciebie jeden z worków ze szmelcem, który niosłeś do kowala na przetop. No i potem postawiłeś mu to jedno piwo jak pokuśtykałeś do karczmy w Starym Obozie.
Mieliście chwilę, żeby porozmawiać o życiu w Kolonii i przy okazji w końcu miałeś możliwość zapytać się go, skąd pochodzi jego imię - temat Cię nurtował od dłuższego czasu. No i opowiedział Ci… Podobno jakiś czas temu łaził po górach w poszukiwaniu ziół o ciekawych właściwościach alchemicznych i trafił na zbocze z bardzo luźnymi kamieniami. Momentalnie zaczął się z nimi osuwać, aż w końcu zbiegał razem z lawiną do jakiejś dolinki. Tak się trafiło, że obozowało tam kilku myśliwych Szkodników i gdy usłyszeli huk głazów i jakąś poruszającą się w tumanach pyłu postać to zaczęli uciekać myśląc, że zbiega do nich kamienny golem.
Oczywiście po krzyku zdążyli się po jakimś czasie zorientować, że nie była to żadna magiczna istota, tylko nieostrożny Kopacz. Za to Golem dostał wtedy od nich niezły wpierdol i wrócił do obozu z niczym, ale przynajmniej wpadł na pomysł ciekawego przydomku.
Zdążyłeś już usłyszeć od reszty Kopaczy inne, mniej lub bardziej podobne historie, ale tutaj Golem wspomniał też o zielarstwie… Może w tej historii jest przynajmniej ziarno prawdy.</t>
  </si>
  <si>
    <t>A imię jego… Golem (Hugon zwany Jeżem)</t>
  </si>
  <si>
    <t>"Był to jeden z tych dni, kiedy wolałeś polecieć do lasu niż na szychtę. Więc to zrobiłeś - od czasu do czasu mogą sobie poradzić bez Ciebie, a Ty wykorzystasz mądrze ten czas na ustrzelenie jakiegoś ścierwojada.
W jednym momencie usłyszałeś w krzakach szelest i przygotowałeś się do walki lub ucieczki, w zależności od tego, co się pojawi. Z krzaków akurat tym razem wyłonił się Golem i po kilku krokach zatrzymał się by omieść wzrokiem otoczenie. Zatrzymał spojrzenie na Tobie po czym powiedział “widać Cię Hugon… a poza tym to, nie wiem czy dzisiaj masz szansę na upolowanie czegokolwiek, grupa szkodników pewnie właśnie teraz zajmuje się całkiem sporym stadem ścierwojadów jakieś 300 metrów za mną. Chodź lepiej do obozu to napijemy się w karczmie”.
No mógł mieć rację, skoro też bez problemu przeszedł tym lasem tyle (a pewnie nawet z Nowego Obozu) to nie ma co marnować czasu. Trafiłeś z nim do karczmy, akurat jak w obozie było całkiem pusto. Gadając przy kolejnych piwach zdecydowałeś się przy okazji zweryfikować plotki o nim - rzekomo w całych Slumsach rozpowiada o sobie niestworzone historie o samym sobie… Więc też go zapytałeś, skąd pochodzi jego imię. Po ilości ciszy stającej już na niezręczną powiedział, że imię powstało, kiedy spadał pod Barierę. Z zeznań świadków wynikało, że w locie trafił głową na kamień i na pewien czas stracił przytomność, kiedy wstał i rozejrzał się wokół wziął przerażony tylko dwa spore kamienie i próbował się z nimi rzucić na pierwszego Cienia, którego zobaczył w okolicy. Kilku chłopa było trzeba, żeby go w końcu powstrzymać i wytłumaczyć mu gdzie jest i co się dzieje. Golem uparcie twierdzi, że ten atak to jego pierwsze wspomnienia, z których też pamięta śmiejących się Cieni mówiących, że atakuje ich kamienny golem. To określnie, z braku innych opcji do niego przylgnęło wtedy."</t>
  </si>
  <si>
    <t>A imię jego… Golem (Cespenar)</t>
  </si>
  <si>
    <t>Nie byłeś pewien tego Kopacza, ale wiele ostatnich rozmów z nim na temat Magnusa i tego, co powinno zostać zrobione utwierdziły Cię w przekonaniu, że ma serce po właściwej stronie. No właśnie, o ile ma serce… Jakiś czas temu kierując się ciekawością zapytałeś go, skąd taki przydomek. Golem wtedy po chwili milczenia powiedział, że to dlatego, że nie jest człowiekiem, tylko konstruktem stworzonym przez jakiegoś maga i właśnie za bycie taką abominacją został zesłany do Kolonii Górniczej.
 Musiałeś zdecydowanie przespać się z tą informacją… chociaż później słyszałeś od Kopaczy wiele innych historii, takich które nie wzbudzały takiego niepokoju. Dlaczego w sumie coś takiego Ci opowiedział?</t>
  </si>
  <si>
    <t>A imię jego… Golem (Olga)</t>
  </si>
  <si>
    <t>Kojarzysz go stąd, że nie patrzył na Ciebie zbyt przychylnie… Może to z powodu Twoich kontaktów? Pomimo takiej niechęci i tak jakiś czas temu przysiadł się do Ciebie w karczmie i zaczął rozmawiać o winie. Na początku liczyłaś na ciekawą wymianę poglądów, ale całkiem szybko okazało się, że jego wiedza o winie jest na ujemnym poziomie. Cóż, przynajmniej trochę mniej tej niechęci od niego czułaś.
 Wykorzystałaś też okazję i jego lekkie upojenie alkoholowe, by zweryfikować plotki o pochodzeniu jego przydomku. Bez wahania odpowiedział, że wzięło się od tego jak kiedyś pijanego go próbowało położyć spać czterech innych Kopaczy, a on jakby nigdy nic dalej szedł w stronę Starego Obozu jak magiczny konstrukt.
 Plotki niejako się sprawdziły - każdemu Kopaczowi mówił coś innego.</t>
  </si>
  <si>
    <t>A imię jego… Golem (Skośny)</t>
  </si>
  <si>
    <t>Widziałeś, że Golem zauważył Twoje prace i od czasu do czasu się im przyglądał. Czasami wyglądał na zaciekawionego, czasami na zrezygnowanego, czasami rzucał tylko jakimiś tekstami o tym, że to nie ma sensu. Raz przy piwie w karczmie zaczął coś gadać o tym, że chcesz ukraść pracę uczciwym kopaczom.
Niewiele Cię to obchodziło, miałeś przed sobą swój cel, który był ważniejszy niż opinie jakiegoś zmęczonego Kopacza. Ciekawe, czemu akurat do tego się przyczepił… W sumie wiele tematów z nim związanych było ciekawe. Zdążyłeś się już nasłuchać różnych historii, które podobno rozpowiadał wszystkim w obozie o genezie swojego imienia. W końcu sam go zapytałeś podczas jednej z tych rozmów, kiedy narzekał na Twój pomysł.
Jego historia Cię zaskoczyła - tej wersji jeszcze nie słyszałeś, a była taka oczywista. Wzięła się z tego, że po trafieniu do Kolonii podczas większości swoich starć wolał używać tylko rąk, twardych niczym kamienie, zamiast różnych pałek czy noży. Po pewnym czasie zapracował sobie tym właśnie na przydomek Golem.</t>
  </si>
  <si>
    <t>A imię jego… Golem (Kati)</t>
  </si>
  <si>
    <t>Za kogo on się uważa? Przychodzi do Ciebie po szychcie i zaczyna Ci tłumaczyć, że źle zarządzasz swoimi Kopaczami?! Co to za bezczelność!
 Ale na spokojnie… Może jakoś zdarzy się okazja pokazać mu swoje miejsce, ale to nie jest najważniejsze. Twoją większą ciekawość wzbudza jednak niekończąca się dyskusja nad genezą jego ksywy. Dlaczego Golem? Słyszałaś już od mnóstwa Kopaczy różne historie i każda z nich brzmiała tak samo nieprawdopodobnie.
 Ostatecznie sama zdecydowałaś się przy okazji zapytać. Powiedział Ci, że za dzieciaka zapadł na chorobę, która stopniowo zamienia go w kamienny konstrukt i musi regularnie przyjmować odpowiednie mikstury, by pozostać człowiekiem. Co do…?</t>
  </si>
  <si>
    <t>A imię jego… Golem (Neralis)</t>
  </si>
  <si>
    <t>Nie wiedziałaś co Cię spotka w Kolonii. Liczyłaś na znalezienie męża i przynajmniej to się udało. No, ale kolejne wyzwania przed Tobą…W końcu trafił się ten najgorszy dzień, kiedy w głowie miałas tylko najgorsze myśli to Cespenar zaprowadził Cię do Golema. Nie miałaś z nim wcześniej kontaktu, ale nie przypadł Ci do gustu na początku.
 Wydawał się przyzwyczajony do tego, co się dzieje z Kopaczami i raczej niechętny do jakichkolwiek zmian… na pierwszy rzut oka. Porozmawiał z Tobą dłuższą chwilę, utwierdził Cię w podejściu, że warto próbować cokolwiek osiągnąć w Kolonii i wspomniał o tym, że na razie nie będzie niczego oczekiwał w zamian, lecz jeżeli już wyjdziesz na prostą to chętnie wróci po przysługę…
 Te rzeczy podniosły Cię na duchu, ale trudno było nie myśleć o tym, co Ci powiedział o samym sobie. Ponoć zanim trafił do Kolonii i w Ardei jeden ze strażników go uderzył to bez wypowiadania słowa zabił czterech kolejnych. Mówili w karcerze, że wyglądało jakby magiczny golem po kolei kasował strażnika za strażnikiem.
 Co ciekawe, to przed i po tym wydarzeniu zdążyłaś usłyszeć wiele innych opowieści o tej ksywie.</t>
  </si>
  <si>
    <t>A imię jego… Golem (Oriana Hiena)</t>
  </si>
  <si>
    <t>Na razie życie w kolonii Cię nie rozpieszczało, ale taki Golem pomimo tego, że do kopalni wchodzi rzadko, to całkiem nieźle sobie radzi. Może on też w mniej przychylny większości sposób zdobywa rzeczy na sprzedaż? Czy on jest Twoją konkurencją? I o co w ogóle chodzi z tym imieniem?
 Raz miałaś okazję zapytać go o to… W odpowiedzi wspomniał o tym, jak kiedyś poprosił strażników o łyka bimbru, którym się dzielili pod kopalnią. Oni zamiast po prostu złoić mu skórę rzucili wyzwanie, że jeżeli wypije cały dzban na raz to nie dość, że mu nie obrobią mieszka to jeszcze mu będą bić brawo. Golem wtedy bez większego wahania wypił całość, a potem pogryzł jeszcze gliniany dzban. To właśnie ta grupa strażników nadała mu ten przydomek…
 Nie brzmi to wiarygodnie, chociaż patrząc na gościa można się spodziewać różnych rzeczy. Ciekawe, że reszta Kopaczy zna wiele innych historii.</t>
  </si>
  <si>
    <t>A imię jego… Golem (Zek)</t>
  </si>
  <si>
    <t>Pomimo tego, że Twoim produktem tak się nie uchlewa, jak tym co można znaleźć w różnych karczmach w całej Kolonii, to dalej pozostaje wiernym klientem. Zwłaszcza w te bardziej upalne dni. Dopóki płaci, nie okrada Cię i poleca innym to nie masz z nim problemów.
 No może poza jednym. Nie wiesz czy chciał sobie z Ciebie zakpić, zagrozić Ci czy kierowało nim coś jeszcze innego, ale kiedyś wspomniał, że nazywają go Golem właśnie dlatego, że kiedyś tak mocno przywalił nowemu Skazańcowi, że ten poleciał na ścianę kilka metrów dalej i skończył ze złamanym kręgosłupem, a alchemik sprawdzający ciało powiedział, że chłop wyglądał jakby uderzyła go kamienna ręka magicznego golema. Od innych słyszałeś całą serię innych historii…</t>
  </si>
  <si>
    <t>A imię jego… Golem (Dodo)</t>
  </si>
  <si>
    <t>To była jedna z niewielu sytuacji, w której zamieniłeś z Golemem jakiekolwiek słowa - prosta prośba, proste zadania. Jakoś mu przyniesiesz tę książkę przy jakiejś okazji - chyba mu się nie spieszy, a nagrodę na pewno wynegocjujesz niezłą, jeżeli aż tak mu zależy. 
 Nie zwróciłeś wcześniej uwagi na to, że miał jakieś zielarskie zainteresowania… Raz tylko coś wspomniał o czymś podobnym, kiedy razem akurat wracaliście ze Starego Obozu. Zatrzymał się wtedy, żeby obejrzeć kilka roślin rosnących przy drodze co trwało o wiele dłużej, niż byś chciał, ale w końcu się podniósł i powiedział, że teraz nie pora na to, bo znowu go nazwą bagiennym golemem. No musiałeś się dopytać o co chodzi.
 Cóż… Historia polegała na tym, że kiedyś zaszedł głęboko na bagna w poszukiwaniu rzadkich ziół do mikstur alchemicznych i po tym jak łaził po mokradłach, krzakach i błocie długie godziny to przyczepiło się do niego tyle badyli, że kiedy spotkał pierwszego człowieka, to ten uciekł krzycząc, że bagienny golem go goni. No cóż, ksywka się przyjęła, na szczęście bez epitetu.
 Ciekawe, że zupełnie inne historie zdążyłeś już usłyszeć od reszty Kopaczy…</t>
  </si>
  <si>
    <t>A imię jego… Golem (Rez)</t>
  </si>
  <si>
    <t>Kolejny wieczór po szychcie… W pamięci liczyłeś, czy w Kopalni nic nie było zaniedbane, próbowałeś sobie przypomnieć czy nic nie wskazywało na to, że coś złego może się wydarzyć w najbliższej przyszłości jakiemukolwiek Kopaczowi. Z myśli wyrwał Cię wracający akurat do obozu Golem. Zapytał, czy wszystko z Tobą w porządku - musiał zauważyć, że od dłuższej chwili się nie ruszałeś i tylko patrzyłeś na swoje palce. 
Złapał Cię za ramię i zaprowadził za jeden z namiotów. Zaczął jeden z jego wywodów, w którym mówił, że nie możesz się tak cały czas zachowywać - Kopacze zaczną na to dziwnie patrzeć i tym bardziej Tobie to nie pomoże ostatecznie w niczym, a tylko zaszkodzi. Potem kontynuował po raz kolejny wspominając historię swojego imienia, którą już Ci wspominał - też kiedyś u niego w Kopalni miał miejsce zawał. Jako jedyny nie został zakopany i potem przez kilka dni starał się odkopać towarzyszy - niestety oni nie wrócili, ale została przy nim ta ksywka - Golem, ten którego nie byli w stanie oderwać od przerzucania kamieni… Sam sobie w końcu wybaczył i Ty też w końcu musisz.</t>
  </si>
  <si>
    <t>A imię jego… Golem (Łajza)</t>
  </si>
  <si>
    <t>Przeżyłaś swoje z dziwnymi mężczyznami, ale ten to był ewenementem. Jak tylko zostałaś Kopaczem to przyszedł do Ciebie i poprosił o swój portret - sypał rudą, to dlaczego miałaś odmówić? Tylko jak już go naszkicowałaś, to zaczął narzekać, że źle, że musi mieć kamienne ręce i w ogóle za mało kamieni jest na nim. Zanim zabrałaś się za poprawianie, to stwierdziałaś, że nie zaszkodzi zapytać ‘Dlaczego?”. 
 Jego twarz spochmurniała jakby ze zdenerwowania lub zrezygnowania, po czym powiedział “No przecież mówią na mnie Golem, bo mam kamienne łapy”, po czym rzucił Ci w czoło kolejną garścią bryłek rudy i pobiegł za jakiś namiot.
 Rysunek skończyłaś tak jak chciał, on go przyjął, podziękował i już nie zawracał Ci głowy. Potem zdążyłaś usłyszeć kolejne kilkadziesiąt historii na temat jego imienia, co jeszcze bardziej utwierdziło Cię w przekonaniu, że jest niepoczytalny.</t>
  </si>
  <si>
    <t>And his name is… Golem (Szikra)</t>
  </si>
  <si>
    <t>You don’t really know anything about him. One thing that you remember is that after you came to the Slum he offered you a beer and a spot near the fire. After that you didn’t have a lot of contact. If you were talking it was strictly about mining.
Besides one time, when in mine you asked him why he has that strange name. After short pause he told you a story. A story about being captured by orcs. When he was their prisoner they used him as a jester and made him walk to the sounds of drums. One of few words, that he could understand than was that they were referring to him as “Golem”. One day he managed to finally escape the captivity, but decided to keep the name. As a reminder.
There is one interesting thing though. You heard a bunch of different stories from other Diggers.</t>
  </si>
  <si>
    <t>A imię jego… Golem (Hiram)</t>
  </si>
  <si>
    <t>Chyba od początku pałał do Ciebie jakąś niechęcią. Nie wiesz czy chodziło ostatecznie o Twoje pochodzenie czy zbrodnie, ale nie miałeś potrzeby by się więcej o tym dowiadywać. On wiedzie swoje życie pod barierą, a Ty swoje i nie musicie być przyjaciółmi.
Ciekawił Cię tylko jego przydomek. Dlaczego Golem? Raz, kiedy akurat siedział w karczmie bardziej podchmielony to zdecydowałeś się przysiąść i zapytać go o pochodzenie przezwiska. Odpowiedział, że to proste - kiedyś w Starej Kopalni próbował okraść jednego ze strażników, co niestety zauważyli i rzucili się na niego. Golem po prostu zaczął uciekać, aż w końcu zdecydował się ukryć w stercie kamieni. Siedział w niej kilka godzin, aż w końcu stwierdził, że jest bezpiecznie. Kiedy inni Kopacze usłyszeli tę historię nadali mu takie właśnie imię.
Nie za bardzo wiedziałeś czy jest sens cokolwiek komentować… a w następnych dniach usłyszałeś jeszcze sporo innych historii od reszty Kopaczy. Każda była inna.</t>
  </si>
  <si>
    <t>A imię jego… Golem (Yarem)</t>
  </si>
  <si>
    <t>Nosz ile on Ci może truć dupę… Tak, wypada pracować w kopalni, tak, to są Twoi kumple, ale Ty masz ważniejsze rzeczy do roboty przecież, a on cały czas Cię męczy, żebyś jednak chodził do tej kopalni. No dobra, jakoś go będziesz spławiał… przynajmniej za głośno Ci tego nie wypomina.
 Sam mógłby na siebie spojrzeć, bo sam też zajmuje się innymi rzeczami cały czas zamiast pracować w Kopalni. Raz mu to wypomniałeś przecież i odpowiedź pozostawiła Cię bez słów, bo brzmiała “Widzisz ten kciuk? On jest twardy jak kamień i gdybym chciał, to mógłbym nim zmiażdżyć Twoją czaszkę. Już kiedyś tak kogoś zabiłem, dlatego właśnie mówią na mnie Golem, od kamiennego kciuka.”
 Z drugiej strony potem słyszałeś dziesiątki Kopaczy opowiadających inne historie o genezie jego imienia…</t>
  </si>
  <si>
    <t>A imię jego… Golem (Ligon)</t>
  </si>
  <si>
    <t>Golem Cię złapał, kiedy wracałeś do swojego namiotu w nocy. “Nie przeginaj z naszymi” - powiedział, po czym poszedł gdzieś jakby nigdy nic. Pewnie chodziło mu o te ściągane haracze od rzemieślników w slumsach. No, ale niczym im nie grozisz, nie zabierasz wszystkiego, dają radę dalej zarobić, więc Golem nie powinien w ogóle na tę sprawę zwracać uwagi.
 W ogóle Golem… skąd to imię? Myślałeś, że ktokolwiek będzie Ci w stanie powiedzieć o tym coś więcej, ale każdy zapytany Kopacz przedstawiał inną historię. No musiałeś zapytać u źródła. Tym razem to Ty go złapałeś późnym wieczorem, jak wracał podchmielony z karczmy w Nowym Obozie. Po zadaniu pytania zajęło mu chwilę, by skupić na Tobie wzrok i w końcu odpowiedzieć. “Tooo skrót od *hip* słów Głupota, Ociężałość, Lęk, Emocjonalna *hip* Martwica”. Po zakończeniu zdania odwrócił się od Ciebie i poszedł w tym kierunku, z którego przyszedł.. Pewnie z powrotem do karczmy. Niezbyt Cię przekonała ta wersja, ale słyszałeś bardziej nieprawdopodobne.</t>
  </si>
  <si>
    <t>And his name is… Golem (Kulcs)</t>
  </si>
  <si>
    <t>You remember that he was one of the first people, who showed you the ropes in the mine and in the Slum. Unfortunately he also wanted something in exchange, so you had to lose some of the magic ore that you mined. All in all, you think it was worth it. Quick start, that allowed you to easily survive first days in the Colony.
After that you sometimes talked with him but didn’t really have any close relations. Still, one thing was bugging you. What's with that name? On one of those evenings, when you didn’t really have much to do you decided to sit by the fire next to him. Again you started talking about work and stuff and finally you asked him about the name.
At first he went silent and then started telling you about a magic ritual in which he participated. At it he exchanged his name with the magical creature and took its name. Supposedly as long as no one finds the creature and no one tells it Golem's real name, he will remain immortal.
It doesn’t really sound plausible but who knows. It’s funny, but after that you heard a lot more stories about “the creation of Golem”.</t>
  </si>
  <si>
    <t>A imię jego… Golem (Kafar)</t>
  </si>
  <si>
    <t>Teraz już nie wiesz komu ufać. Z jednej strony Golem jakiś czas temu sypnął Ci kilka bryłek na naprawę butów, z drugiej potem żebrał od Ciebie piwo w karczmie sporo razy. A teraz jeszcze do tego Nolan zlecił Ci dowiedzenie się co planuje on i Eddy. Zaczyna to Ci trochę ciążyć, a do tego dochodzą wszystkie informacje, które już o Golemie zdążyłeś usłyszeć od innych.
 A najbardziej to, co sam Ci powiedział. Jednego wieczoru przy zbieraniu opału do ognisk w slumsach zapytał Cię, czy wiesz dlaczego tak na niego mówią… Atmosfera momentalnie zgęstniała, a Ty w głowie liczyłeś ile czasu zajmie Ci upuszczenie tego drewna co masz i sięgnięcia po nóż. Na szczęście nie musiałeś tego robić, bo Golem się tylko roześmiał i krzyknął do Ciebie “To przez ten ryj, co wygląda jak rzeźbiony przez chujowego kamieniarza!”.
 O co mu chodzi w rozpowiadaniu tych wszystkich historii?</t>
  </si>
  <si>
    <t>A imię jego… Golem (Grzebor)</t>
  </si>
  <si>
    <t>Zlecenie od Eddyego Cię zaniepokoiło, ale w sumie nie będziesz miał nic przeciwko wbiciu Golemowi kilku szpilek. Pamiętasz w końcu, jak ledwo co po trafieniu do Kopalni pokazał Ci co i jak. Jak najlepiej kopać, jakich skał unikać, żeby się nie męczyć i też jak najlepiej wynosić rudę z kopalni za plecami strażników. Jak się okazało, te porady nie były darmowe i kilka razy żądał od Ciebie oddania części bryłek za to. Masz nadzieję, że to masz już za sobą.
 Jednak przez to wszystko wszystko co słyszałeś o nim od innych sam zacząłeś się zastanawiać skąd pochodzi jego imię. Podczas jednej wymiany zdań (przy której spodziewałeś się kolejnego żądania zapłaty) mimowolnie poruszyłeś temat. Powiedział, że nazwali go tak kiedyś w Kopalni, bo preferował odpoczywać na stojąco, jak posąg. Co by dużo mówić, innym wspominał o innych powodach.</t>
  </si>
  <si>
    <t>A imię jego… Golem (Sarniak)</t>
  </si>
  <si>
    <t>Coś ostatnio masz z nim trochę problemów. Zauważył, że dociskacz o rudę innych Kopaczy i wpierdala się w to, kiedy akurat jest obok. Musisz być bardziej ostrożny, bo jeszcze Ci problemów narobi. Cały czas daje do zrozumienia, jakich on to znajomości nie ma - a czy to prawda to już inna sprawa - może lepiej nie ryzykować i robić to wszystko bardziej po cichu.
Ale czemu mu tak zależy? Z jakiegoś powodu zdecydował się opiekować nad uciskanymi Kopaczami… strata czasu.
No, ale cóż - ma na pewno nie po kolei w głowie, co by tłumaczyło jego działania. Jak się go zapytałeś ostatnio skąd w ogóle pochodzi ksywka Golem to powiedział, że jego prawdziwe imię pochodzi z jakiegoś starożytnego języka i “Golem” to jedyne sylaby, które ktokolwiek był w stanie wypowiedzieć. Dodał jeszcze, że nawet nie będzie Ci próbował tłumaczyć o co w tym chodzi, żebyś pilnował bryłek i w tym momencie spadał do kopalni na swoją szychtę.
Potem wyszło, że każdy Kopacz i tak słyszał inną historię, więc równie dobrze mogłeś obie darować samo pytanie…</t>
  </si>
  <si>
    <t>A imię jego… Golem (Smalec Faja)</t>
  </si>
  <si>
    <t>Eh, rodzina, bracia… Niektórzy w trakcie życia tylko zacieśniają takie więzy, inni je rozluźniają. Ty znalazłeś się po tej szczęśliwszej stronie najwyraźniej, a Golem, którego niedawno poznałeś niestety po tej gorszej.
 Raz gdy już późnym wieczorem (lub wczesnym ranem w zależności od tego, czy ktoś wstawał lub się kładł) siedzieliście przy ognisku to zapytałeś go o genezę tego przydomku. Po krótkiej chwili milczenia powiedział Ci, że jego brat bliźniak zgarnął rodowe imię Melog, a przez to, że Golem był jego lustrzanym odbiciem… Nie musiał kończyć historii.
 Na początku czułeś współczucie, a potem usłyszałeś w ciągu kilku dni wiele więcej historiio Golemie od innych Kopaczy. Wtedy Ci się skończyły zasoby współczucia i zacząłeś się zastanawiać w jaką grę on gra.</t>
  </si>
  <si>
    <t>A imię jego… Golem (Agrest)</t>
  </si>
  <si>
    <t>Podczas jednej z rozmów z nim tematy zeszły na zielarstwo i alchemię, z jednej strony wydawał się zawiedziony, że zdecydowałaś się nie podążać za rodzinnym fachem, z drugiej strony chyba i tak cieszył się, że jest z kim pogadać o roślinach. Tutaj trudno i tak znaleźć kogoś, kto posiada jakiekolwiek kompetencje. Pod koniec rozmowy jeszcze coś dodał o swoim zagubionym zielniku, ale w tym momencie taki przedmiot nia miał raczej dla Ciebie zbyt dużej wartości.
W sumie tak jeszcze na odchodne rzuciłaś pytaniem o co chodzi z tym imieniem - w końcu nasłuchałaś się już mnóstwa plotek w Slumsach. Odpowiedział, że lata temu, jakby praktycznie w innym życiu został ukarany przez druidów zaklęciem w kamień. W trakcie tego uwięzienia mimowolnie musiał ich słuchać i chłonąć wiedzę. Dowiedział się wtedy właśnie wszystkiego co dzisiaj wie o ziołach. Po uwolnieniu, podziękował druidom i stwierdził, że by nigdy nie zapomnieć o tym zmieni swoje imię… Nie wspominał za co była wymierzona kara.
Cóż - różniło się to od innych opowieści zasłyszanych od reszty Kopaczy.</t>
  </si>
  <si>
    <t>And his name is… Golem (Pocak)</t>
  </si>
  <si>
    <t>You have to know finally, why is his name Golem? What is the story behind it? A lot of Diggers told you many different versions varying from silly to scary and still you  have no idea what is the truth.
A couple nights ago  you decided to ask him about it also offering a couple beers and he plainly told you. He thinks that he was born from the Mine itself. He didn’t appear as a prisoner in the Colony. One night some boulders just joined and woke up - starting his life. Hence the name Golem - a creature from rock.
Seems that that one was just another stupid story, so you literally and figuratively have to keep digging for more…</t>
  </si>
  <si>
    <t>A imię jego… Golem (Karax)</t>
  </si>
  <si>
    <t>Od początku pobytu w Kolonii starasz się nikomu nie wchodzić w drogę i poza pojedynczymi nieprzyjemnościami całkiem nieźle Ci się to dotychczas udawało. Nie uciekło Twojej uwadze, że Golem funkcjonuje tak samo choć, o ile Ty masz ambicje, żeby się stąd wyrwać, o tyle jemu się tu chyba podoba.
Musi mieć jakiś sekret… Oczywiście poza tym, jak dorobił się ksywki Golem. Jednego z pierwszych wieczorów pod Barierą, starałeś się wyrobić jak najwięcej znajomości. A nic w tym nie pomaga tak, jak dowiedzenie się o każdym wokół jak najwięcej. No i w końcu padło na niego - naturalne, że zapytałeś o imię, nie mogło być przecież takie od urodzenia.
Po chwili milczenia Golem powiedział, że wzięło się to stąd, że jedyne z czego się składa to glina i gniew na niesprawiedliwości pod Barierą…
Nie wiedziałeś co o tym myśleć, więc nie kontynuowałeś już rozmowy. Co ciekawe, w kolejnych dniach zdążyłeś się nasłuchać o wiele więcej innych historii o tym imieniu od reszty Kopaczy.</t>
  </si>
  <si>
    <t>A imię jego… Golem (Kimbo)</t>
  </si>
  <si>
    <t>Bardziej niż rozwijanie znajomości z każdym dziwnym Kopaczem wolałeś skupić się na pracy i wyrabianiu kontaktów. No i przy okazji na cieszeniu się różnymi używkami. Nic więc dziwnego, że poza posiedzeniami w karczmie nie miałeś praktycznie żadnego kontaktu z Golemem. A tam jednak poważne rozmowy prowadziło się trochę ciężej.
Ale przynajmniej można było się pośmiać, jak go zapytałeś o jego ksywkę i jej pochodzenie. Podobno raz po pijaku zasnął na stojąco pod kamienną ścianą i tak się wpasował w krzywiznę zbocza, że był praktycznie niewidoczny. Obudziły go kroki kilku przechodzących Nowicjuszy, którzy po zobaczeniu ruszającej się skały porzucili wszystkie swoje blanty i uciekli w stronę bagna krzycząc coś o golemie na drodze. Tak mu się spodobało to określenie, że zdecydował się przyjąć je jako imię.
Dziwne, że od innych Kopaczy usłyszałeś inne wersje…</t>
  </si>
  <si>
    <t>A imię jego… Golem (Barett)</t>
  </si>
  <si>
    <t>Wypytałeś już chyba każdego Kopacza i usilnie każdy przedstawia inną wersję. Dlaczego Golem rozpowiada każdemu inną historię na swój temat? Po co to robi? Przecież to jest kilkadziesiąt zmyślonych faktów! Kto miałby na to czas w Kolonii? No wychodzi na to, że on z jakiegoś powodu. Gdybyś tylko wiedział, czy jakaś jest prawdziwa…
“Jakaś jest” - aż podskoczyłeś poruszony głosem za Twoimi plecami - “Mogę Ci ją nawet opowiedzieć” - kontynuował Golem, który musiał usłyszeć jak gadałeś do samego siebie.i zdecydował zamienić Twój monolog w dialog.
Skinąłeś głową. “To bardzo proste: mój ojciec zawsze chciał opanować arkana magii, ale nic mu nie wychodizło. Jako, że nie był w stanie przywołać prawdziwego golema to przynajmniej dał tak na imię synowi.” - patrząc na Twoją minę dodał tylko - “Czemu Ci to mówię? Bo i tak nikt Ci nie uwierzy.”
Po zakończeniu wypowiedzi poszedł do karczmy, a Ty przez dobre kilka minut stałeś jak wryty.</t>
  </si>
  <si>
    <t>A imię jego… Golem (Skaza)</t>
  </si>
  <si>
    <t>Najpierw Ty mu opowiedziałeś swoją historię, kiedy zapytał Cię o blizny. Potem on Tobie swoją i to Cię zmroziło. Golem twierdzi, że sam był kiedyś magiem. Magiem, który specjalizował się w przyzywaniu magicznych istot. Rzekomo na wyspach południowych nazywali go Królem Golemów, który wykorzystał magię do podbicia całej wyspy. Długo rządził, ale w końcu innym magom udało się go obalić, po czym pozbawić mocy i pamięci o samych zaklęciach… Potem prześmiewczo nazwali go tak, jak jego ulubiona istota i zesłali do Kolonii, by szczezł.
Nie spodziewałeś się spotkania maga w Kopalni, ale w kolejnych dniach stopniowo uspokajały Cię rozmowy z resztą Kopaczy, podczas których opowiadalio nim zupełnie co innego.</t>
  </si>
  <si>
    <t>A imię jego… Golem (Fenek)</t>
  </si>
  <si>
    <t>Z jednej strony na rysunki zawsze znajdą się klienci, z drugiej czasem może lepiej odpuścić kilka projektów… Lub całego klienta. Golem Przyszedł do Ciebie ze zleceniem na wykonanie swojego portretu, ale tak jakby był z kamienia. Twój mózg przetwarzał tę informację, ale niestety musiałeś dopytać się o szczegóły. Im więcej się dowiesz od razu tym mniejsza szansa, że mu coś nie będzie pasować i tym samym mniejsza szansa na potrzebę poprawek.
 Odpowiedział Ci wprost. “Myślisz, że czemu mnie tak nazywają? Pracuję nad recepturą przemiany w golema, a od Ciebie chcę, żebyś mi pokazał jak będę wyglądał”.
 Stwierdziłeś po wielkości proponowanej zaliczki, że taki projekt Cię nie interesuje i zająłeś się innymi sprawami.
 Potem tylko sobie przypomniałeś, że tylu Kopaczy wspomina o zupełnie innych historiach, które wpłynęły na przydomek Golem.</t>
  </si>
  <si>
    <t>A imię jego… Golem (Rudzik)</t>
  </si>
  <si>
    <t>Nie zdążyłeś go jeszcze dobrze poznać po przybyciu do Kolonii, ale od początku wydawał się w porządku. Podczas pierwszej interakcji zaproponował Ci przysiąść się do ogniska i podzielił się z Tobą miską z jedzeniem, którego genezy wolałeś nie znać. Ale było ono ciepłe, a Ty byłeś głodny i zmęczony. Dopiero wtedy zapytałeś się go jak ma na imię - Golem - padła odpowiedź. Nie myśląc za dużo zapytałeś się dlaczego. Ten tylko skwitował to zdaniem “Mój ojciec był bardzo ekscentrycznym kamieniarzem i kiedy za dzieciaka bawiłem się kamieniami to mówił, że mały golemik mu rośnie”.
 Później podczas już wielu dni pracy jako Kopacz usłyszałeś od innych całą serię historii o genezie jego imienia. O co tu w ogóle chodzi?</t>
  </si>
  <si>
    <t>A imię jego… Golem (Sowa)</t>
  </si>
  <si>
    <t>Może i nie słyszałeś nic, co by wskazywało na to, że Golem planuje uciec do Nowego Obozu, ale na pewno często tam bywa. Głównie w karczmie, gdzie za każdym razem wspiera sporym zastrzykiem bryłek lokalną ekonomię. Już mniejsza z tym skąd je bierze… Ale czemu akurat tam? I o co do cholery chodzi z tym imieniem? 
 Zdążyłeś się już nasłuchać wielu historii o tym, skąd się wzięło, ale raz jak wracaliście też go o to zapytałeś. Powiedział, że ma kiedyś jego starzy znajomi nadali mi ten przydomek, po tym jak po wielu ciężkich wieczorach ani razu nie widzieli, żeby zachwiał się po piciu nawet najcięższych alkoholi - stał jak posąg. I może, kiedy to mówił to język mu się plątał, ale sam szedł prosto.</t>
  </si>
  <si>
    <t>A imię jego… Golem (Lizel)</t>
  </si>
  <si>
    <t>Twój humor chyba mu podpasował, bo już kilka razy zdarzyło mu się postawić Ci piwo za opowiadane żarty. Już kilka wieczorów tak oszczędzałaś bryłki, więc co tu dużo mówić - zaczęłaś też na nim skupiać żarty, jako patronie Twoich libacji.
Jednego z tych wieczorów, kiedy już trzeci raz tłumaczyłaś mu jeden z żartów, to rzuciłaś przez śmiech:|
-Ty to jesteś bystry jak kamienny Golem!
-O, skąd wiedziałaś?
-Co?
-No.. dokładnie to już kiedyś usłyszałem i to wiele razy. W końcu zaczęli mówić po prostu Golem dla wygody.
-Yyyyy
-Myślałem, że to gdzieś usłyszałaś. No nieważne.
Dziwna sytuacja…i teraz zastanawiasz się czy to właśnie tym razem Golem nie zażartował z Ciebie. Zdążyłaś w końcu usłyszeć inne historie o tym imieniu…</t>
  </si>
  <si>
    <t>A imię jego… Golem (Bron)</t>
  </si>
  <si>
    <t>Kiedy po raz pierwszy wszedłeś do Kopalni to bacznie Cię obserwował przez pierwsze minuty pracy - jakby czekał na błąd albo czy przypadkiem nie będziesz chował rudy po kieszeniach. Prawda okazała się jednak inna, gdy podszedł do jednego z Kopaczy, który miał zdecydowane problemy z kopaniem rudy i po prostu pokazał mu jak to się powinno robić. Ty najwyraźniej nie potrzebowałeś pomocy, co w sumie nieźle poprawiło Ci humor tego dnia.
Złapałeś go potem na wyjściu z szybu, żeby zapytać wesoło, czy czekał na moment, kiedy będziesz potrzebował pomocy. Niechętnie przyznał rację i dodał, że na szczęście nie musiał podchodzić. Już nasłuchałeś się jego opisów wcześniej, więc nie trudno było wywnioskować, z kim masz do czynienia. Czysta ciekawość sprawiła, że zapytałeś go o imię - normalne pytanie. Na początku zrobił taką minę, że już czekałeś, aż się na Ciebie rzuci, ale potem po prostu powiedział “Gdy po raz pierwszy tu zszedłem kopać, to zapomniałem o poprzednim życiu i narodziłem się na nowo. Wokół były skały, więc przyjąłem imię Golem - zrodzony z Kopalni”.
Nie jesteś tego pewien, ale chyba zrobiłeś wtedy oczy jak spodki. Te słowa siedziały w Twojej głowie przez dobre kilka dni, ale stopniowo traciła swoją wagę, gdy dowiedziałeś się, że każdemu opowiada co innego.</t>
  </si>
  <si>
    <t>A imię jego… Golem (Trzmiel)</t>
  </si>
  <si>
    <t>Zadanie od niego już masz - z tego co o nim słyszałeś, to powinno się opłacić. Golem pomaga tym, którzy pomagają jemu, a jak najpierw on komuś pomoże, to liczy na przysługę lub zapłatę - brzmi rozsądnie.
Ale nie tylko to o nim słyszałeś. Rzekomo każdemu Kopaczowi rozpowiada inną historię na temat genezy swojego imienia, a Ty jako prawdziwy myśliwy zdecydowałeś się wytropić prawdę. W sumie tropienia za dużo nie było, bo po prostu jednego wieczora poszedłeś do Golema i wprost go zapytaleś o co chodzi. Odpowiedź, tak jak się spodziewałeś, była kolejną historią.
Tym razem padło na to, że imię wzięło się od lojalności, jaką darzy tych, którym zaufa. Rzekomo miał w życiu wiele sytuacji, w których mógł kogoś zostawić na pastwę losu, ale nigdy nie złamał swoich wartości. Zaczęli mówić, że był lojalny jak golem magowi, który go przywoła. I przezwisko się przyjęło.
Ta informacja nie zmieniła Twojego stanu wiedzy, ale kto wie. Może kiedyś w końcu… wytropisz prawdę.</t>
  </si>
  <si>
    <t>A imię jego… Golem (Orlando)</t>
  </si>
  <si>
    <t>Raz się przysiadł do Ciebie po tym jak rozmawiałeś z Bronem. “Fajnie tak trafić do Kolonii, z kimś komu ufasz, sam bym chciał mieć takiego przyjaciela” - nie przerywałeś, brzmiało ciekawie, a do tego wolałeś nie zdradzać za wiele o tym, o czym ostatnio myślisz - “Kiedyś podróżowałem z przyjacielem po Varancie… nie wiem co go do tego skłoniło, ale zdecydował się mnie sprzedać jakimś bandytom, którzy chcieli mnie złożyć w ofierze jakiemuś wymyślonemu przez nich bóstwu” - o czym on w ogóle mówił - “kiedy jeden z nich miał już mi wbić sztylet w pierś, to ostrze w dziwny sposób się najpierw odbiło jak od skały, a potem roztrzaskało na kawałki i to ostatnie co pamiętam… potem obudziłem się na środku tamtej jaskini z rękami we krwi i otoczony martwymi bandytami. Z ich krwi na podłodze ktoś po prostu napisał GOLEM” - chciałeś coś powiedzieć, ale ten kontynuował - “znalazłem wtedy swojego towarzysza podróży i w pełnej świadomości zatłukłem gołymi rękami. Nawet potem sam oddałem się władzom, które wysłały mnie do Khorinis” - Jakby nigdy nic, po prostu wstał po zakończeniu historii i poszedł gdzieś między namioty.
Co się wtedy stało?</t>
  </si>
  <si>
    <t>A imię jego… Golem (Jopke)</t>
  </si>
  <si>
    <t>-Golem, długo tu siedzisz?
-Od początku.
-Jak to od początku? Przybyłeś z pierwszym transportem więźniów do Kolonii? Brałeś udział w buncie?
-Nie. Nie zostałem tu zrzucony, ani zesłany.
-Czy byłeś kiedyś strażnikiem, który przeżył bunt?
-Nie. Ja się po prostu obudziłem, kiedy powstała Bariera. Nie wiedziałem nic, nie znałem nikogo. Tylko ciągnęło mnie do Kopalni, więc tam poszedłem i zacząłem kopać.
-...
-Dlatego tak mnie nazwali, bo nikt nie był w stanie wymyślić przy takiej historii nic bardziej kreatywnego.
I tak zakończyłeś jedną z pierwszych rozmów z nim… Dalej Cię zastanawia, na ile takie coś w ogóle było możliwe, ale pewnie to i tak kłamstwo. Podobno każdemu wciska kolejne.</t>
  </si>
  <si>
    <t>A imię jego… Golem (Galm)</t>
  </si>
  <si>
    <t>Dalej się otrząsasz po tym nocnym spotkaniu z Golemem… Ale wisisz mu tę przysługę. Jednak dał Ci te bryłki na kolację i na piwo, kiedy Tobie brakowało po ominięciu kilku szycht przez chorobę. Ale to swoją drogą - zrobisz co musisz.
 Po tej sytuacji przypomniałeś sobie coś innego. To jak pewnego poranka przy dopiero co odpalanym ognisku zapytałeś go, dlaczego nadał sobie taki właśnie przydomek. Golem po dłuższej chwili przerwał rozpalanie ognia i odpowiedział Ci zdawkowo, że nazwali go tak strażnicy, którzy wyśmiewali go pijanego, gdy rozmawiał przez kilka godzin z jednym z kamieni pod Kopalnią myśląc, że to jego znajomy. Zdążyłeś wcześniej usłyszeć wiele historii od innych Kopaczy, ale ta była jedną z ciekawszych.</t>
  </si>
  <si>
    <t>A imię jego… Golem (Kłoda)</t>
  </si>
  <si>
    <t>Nie wiesz skąd wtedy przyszedł, ale gdy z walącym sercem szedłeś dalej przez las po tym, jak prawie zginąłeś to pojawił się na drodze jakiś obdartus. Jak tylko Cię zobaczył, to podbiegł do Ciebie i dał Ci szybkiego łyka ze swojego bukłaka. Spodziewałeś się wody, ale było tam coś zdecydowanie mocniejszego. Może i na początku smak Cię zaskoczył, ale po chwili rozchodzące się po Twoim ciele ciepło uspokoiło nerwy. Chwilę zajęło Ci uspokojenie się do końca, po czym ruszyłeś za tym gościem w niewiadomym Ci wtedy kierunku.
 Po jakimś czasie zobaczyłeś światło ogniska odbijające się od jasnych namiotów.
 -witamy w slumsach, jutro znajdziemy Ci coś do roboty.
 -co?
 -spokojnie, zarobisz tu trochę bryłek, przeżyjesz kilka dni, a potem zobaczysz, czy ciągnie Cię do któregoś z Obozów
 -no dobra… a kim Ty w ogóle jesteś?
 -mów mi Golem.
 -co?
 -Golem, to dlatego, że ta ręka jest jak skała, a drugiej sam się boję.
 Po tej ciekawej wymianie zdań Golem zniknął gdzieś między namiotami, a Ty przysiadłeś się do jednego z ognisk. W ciągu następnych dni dowiedziałeś się od innych Kopaczy, że wersji Golema na temat jego ksywy jest tyle co Kopaczy…</t>
  </si>
  <si>
    <t>A imię jego… Golem (Art)</t>
  </si>
  <si>
    <t>Od czasu przybycia do Kolonii i opowiedzenia swojej historii miałeś wrażenie, że Golem jest jednym z niewielu, którzy Ci faktycznie wierzą. Niestety teraz nie ma to znaczenia - siedzisz w Kolonii i nic nie wskazuje na to, żeby to się miało w najbliższym czasie zmienić. Musisz wykorzystać to, co tu masz żeby przynajmniej jak najlepiej się ustawić.
 A w międzyczasie warto zbierać informacje… Starasz się zasięgać języka ile się tylko da, a wśród Kopaczy jeden temat przewija się w kółko. O co chodzi z Golemem? Chyba każdy słyszał inną wersję historii o tym, jak zyskał ten przydomek. W końcu sam go o to zapytałeś. Odpowiedź zmroziła Ci krew w żyłach… Golem zaczął mówić o tym, jak kiedyś przeżył zawał w kopalni. Leżał pod głazami kilka dni zanim go odkopali. Po przeżyciu czegoś takiego stwierdził, że skały są jego przyjaciółmi i zmienił imię na imię istoty z kamienia…</t>
  </si>
  <si>
    <t>A imię jego… Golem (Merik)</t>
  </si>
  <si>
    <t>Chyba zawsze będziesz pamiętał swoją pierwszą szychtę. Nie wiedziałeś co robić, gdzie iść i w jakie skały uderzać, żeby wydobyć magiczną rudę. W jednym momencie złamałeś nawet kilof… Obawiałeś się gniewu strażników albo innych Kopaczy. Na szczęście wtedy ktoś puknął Cię w ramię i chwilę później podał Ci kolejny kilof, a potem wskazał jedno miejsce w ścianie kopalni. Tam właśnie uderzyłeś pierwsze kilka razy i całkiem szybko natrafiłeś na niebieski połyskujący kolor. Golem - choć wtedy nie wiedziałeś, że tak się nazywa - powiedział tylko “50 bryłek za tydzień i jesteśmy kwita”.
Na początku nie było łatwo uzbierać, ale w końcu się udało. Kilka dni później, ale w końcu spłaciłeś dług, a przy okazji zapytałeś się skąd wziął takie imię. Krótko odpowiedział, że rozumie co mówią kamienie i stąd zawsze wie, gdzie kopać.
Niezbyt uwierzyłeś w tę informację - zwłaszcza, że przed tym jak Ci to powiedział zdążyłeś się nasłuchać już innych historii o nim.</t>
  </si>
  <si>
    <t>A imię jego… Golem (Nadia)</t>
  </si>
  <si>
    <t>Ciekawość zjadała Cię kilka ostatnich dni. O co chodzi? Dlaczego? Czy cokolwiek jest prawdą? Wolałaś już przestać o tym myśleć, więc po prostu jednego dnia złapałaś go jak wychodził z Kopalni.
-Skąd się wzięło to, że nazywasz się Golem?
-Tak naprawdę Galam, ale w dokumentach sędziego ktoś zrobił błąd, tak odczytali przy zrzucie i już zostało.
Niezbyt porywająca historia… o ile w ogóle prawdziwa. Podobni reszta Kopaczy zna inne.</t>
  </si>
  <si>
    <t>A imię jego… Golem (Krótki Josif)</t>
  </si>
  <si>
    <t>Liny liny liny, Golem Golem Golem. Jakim cudem to się w ogóle łączy? Na to pytanie nie odpowiedzą nawet najpotężniejsi Guru w całym Bractwie. Ważne, że kilka razy do Ciebie przychodził z pytaniami o różne węzły. Nie wnikałeś o co chodzi, ale w podziękowaniu od czasu do czasu rzucał Ci po kilka bryłek…
 Pewnego dnia Twoja ciekawość zwyciężyła i musiałeś się zapytać o jego przydomek. On, po chwili milczenia odpowiedział, że raz próbował bawić się w żeglarstwo, ale tak przeciągnął żagiel na swoją stronę i wywrócił łódź, że w porcie krzyczeli, że rzekomo magowie jakiegoś kamiennego golema na łajbę wrzucili… 
 W kolejnych dniach zorientowałęś się, że każdy Kopacz opowiadał o Golemie inną historię…</t>
  </si>
  <si>
    <t>And his name is… Golem (Shador)</t>
  </si>
  <si>
    <t>You weren’t the first to ask, but nonetheless it was somewhat exciting. You caught him, when he was leaving camp in the evening, you weren’t even sure what way he was going. So you simply asked him. “The old stone circle in the forest” - that was the only reply. You pushed on with another question as to why it is his destination “To pray”. That got a bit weird, as far as you know, none of the Innos or Adanos shrines were that way… “You want to know why, don’t you? I am a Digger, I work with rock and stone, I will die surrendered by rock and stone, so I pray to rock and stone. That's why they called me like that and it stuck.
And he left you speechless on the Slum border. Maybe some other Diggers have other explanations?</t>
  </si>
  <si>
    <t>A imię jego… Golem (Einar)</t>
  </si>
  <si>
    <t>Na początku byłeś mocno zagubiony w tej Kolonii. Pomimo rad Golema, żeby uważać na bagienne ziele, dałeś się w to wciągnąć i dobrze wiemy jak to się skończyło. Pomimo tego, że raz mu już kazałeś spadać to Golem wciąż był chętny Ci pomóc - tym jednym skrętem uratował Ci może nie życie, ale na pewno Twoją psychikę…
 Poprosił Cię przy okazji o przysługę (niestety). Jeżeli znajdziesz kogoś, kto będzie w stanie mu przynieść Zew Nocy to chętnie Cię nagrodzi jeszcze - pytanie, czy będzie warto?
 Kiedy chciałeś zadać dodatkowe pytania to Golem patrząc Ci głęboko w oczy przyłożył palec do ust, a następnie powiedział “Ja nigdy nie śpię, dlatego właśnie mówią na mnie Golem - zawsze czuwam jak ten posąg, więc nie myśl, że uda Ci się uciec od tej przysługi” 
 Wróciłeś po tym do namiotu mocno skonsternowany, ale z drugiej strony miałeś w głowie tyle innych historii, które zdążyłeś usłyszeć o Golemie od reszty Kopaczy.</t>
  </si>
  <si>
    <t>A imię jego… Golem (Rudy Faja)</t>
  </si>
  <si>
    <t>Kilka osób coś wspominało o tym, że zajmował się alchemią. Byłeś ciekaw, czy magią też, więc zapytałeś - zawsze dobrze jest mieć dodatkowy kontakt w razie potrzeby. Spojrzał na Ciebie poważnie. “Jestem magiem kamienia - tak jak magowie ognia rzucają ogniem, tak ja mogę rzucić kamieniem. Dlatego mówią na mnie Golem” - po czym gromko się roześmiał i sięgnął po kolejne piwo. Czy chciał z Ciebie zakpić? Czy to po prostu zwykły żart w jego humorze, którego nie rozumiesz?
Z tymi myślami pozostałeś na parę dni, aż sam usłyszałeś jakieś niestworzone historie o jego imieniu od innych Kopaczy. Czemu istnieje tyle wersji?</t>
  </si>
  <si>
    <t>Druga strona buta</t>
  </si>
  <si>
    <t>Może i czasami ze Strażnikami można się dogadać, ale część z nich regularnie przegina.Czujecie, że Wasi bracia i siostry z Kopalni nie zasłużyli na to, co ich spotyka z rąk niektórych strażników. Chcecie coś z tym zrobić, a Golem chyba te chęci wyczuł.
Polecił Wam spotkać się z nim w wieczór Święta Kilofa pod wielkim dębem o 20:00.
Do tego czasu polecił Wam przemyślenie, kto jeszcze miałby ochotę rozwiązać kilka problemów ze strażnikami i kto jest na pewno godny zaufania. I zdecydowanie pomyślcie, którzy Strażnicy najbardziej zasługują na nauczkę.</t>
  </si>
  <si>
    <t>Fajowska Drużyna</t>
  </si>
  <si>
    <t>Nie po to chodziliście do świątynnej szkoły, żeby się uczyć – chodziliście tam po datki, po śniadania innych dzieci i po szacunek, który zdobywa się pięścią, a nie pismem. Ty i twoi dwaj bracia byliście nierozłączni, jak trzy plagi na jedną wieś. Każdy z was zna inną część liter, ale razem jakoś dajecie radę rozszyfrować, gdzie pisze "wejście", a gdzie "nagroda". Nie jesteście mądrzy. Nauczycieli już dawno nie pamiętacie z twarzy, ale oni was pamiętają – szczególnie ten, który przez was zaczął jąkać się przy głoskach z waszego fragmentu alfabetu. Niech się inni śmieją. Nie trzeba znać całego alfabetu, żeby wypracować sobie RE - NO - ME.</t>
  </si>
  <si>
    <t>Awanse</t>
  </si>
  <si>
    <t>Rączka przekazał Ci informację, że chce z Tobą pogadać, że czas na wdrożenie w trochę wyższe poziomy Gildii. Macie się spotkać w czwartek popołudniu, żeby wyjaśnił Ci co i jak. Obserwowałaś ostatnio jedną ze służących na Zamku- Vivienne. Bezproblemowo i z piękną nonszalancją zawinęła kilka przedmiotów. Przydałby się Wam dobry człowiek na Zamku. Może warto przetestować czy jest godna zaufania i zaproponować potem udział w turnieju.</t>
  </si>
  <si>
    <t>Co szepczą cięciwy</t>
  </si>
  <si>
    <t>Twardo i nie chwiejąc się kroczysz ścieżką myśliwego. Wyrabiasz kontakty i latasz po lasach w całej Kolonii. Nie umknęło to najwyraźniej uwadze Golema. Jednego razu, kiedy wracałeś z polowania zobaczyłeś go w krzakach w pewnej odległości od obozu - jakby na Ciebie czekał. Tylko skinął dłonią, żebyś podszedł po tym, jak upewnił się, że w okolicy nie ma nikogo więcej. 
Zaczął rozmowę ogólniej, ale potem zaczął dopytywać się o takie rzeczy, jak to, kto ostatnio na co planuje polować, czy coś o tym wiesz… Nie byłeś w stanie dać mu w tamtym momencie za dużo odpowiedzi, ale to co mówiłeś było chyba i tak wystarczające. Wypytywanie przerodziło się w przekazanie wytycznych - z jakiegoś powodu Golem i jak to ujął “inni zainteresowani” chcą, żebyś dowiedział się jak najwięcej o polowaniach innych myśliwych w każdym obozie i strażników świątynnych oraz przekazał wszystko czego się dowiesz. Na co polują, jak dużo im się udaje, czy cokolwiek wyciągają z trucheł i do kogo to potem trafia. Za odpowiednią ilość informacji będzie Cię czekała nagroda, a jak się spiszesz to nawet kilka.
Pozostaje brać się do roboty. Golem czeka.</t>
  </si>
  <si>
    <t>Zlewka do połowy pusta</t>
  </si>
  <si>
    <t>Liczyłaś na trochę lepsze zarobki w tej Kopalni - najwyższa pora znaleźć coś dodatkowego do roboty. Jeżeli tylko uda Ci się od kogoś nauczyć alchemii to liczba bryłek w sakiewce powinna się Ci o wiele bardziej podobać. Tylko gdzie zacząć? Wśród Cieni przewijały się imiona Noel i Klara związane z apteką w Starym Obozie. Może tam musisz zacząć?</t>
  </si>
  <si>
    <t>Byle nie wybuchło…</t>
  </si>
  <si>
    <t>Chudy nieźle się ustawił z tą alchemią. To nie może być takie trudne w sumie skoro on się tego nauczył. Byle tylko znaleźć kogoś, kto podzieli się wiedzą, ale gdzie? Chudego może być trudno przekonać, a zresztą to ledwie amator. Hmmm, wśród Nowicjuszy, którzy czasem łażą po Slumsach kilku wspominało pracy niejakiego Alwara, a do tego przewijały się takie imiona jak Malrik i Szarlej. No cóż - może trzeba udać się na bagno… W najgorszym wypadku wyrobisz znajomości i wrócisz z zielem, które sprzedasz tutaj drożej.</t>
  </si>
  <si>
    <t>Faza druga</t>
  </si>
  <si>
    <t>Udało się zacząć, ale dobrze wiesz, że to dopiero początek Twojej drogi… Na podstawowych miksturach nie może się skończyć i musisz znaleźć nauczyciela, który wyniesie Cię na kolejny poziom. Tylko kogo? Akania na pewno jest kompetentna, ale jeszcze nie wiesz jak zakończy się obecna współpraca z nią. Może ktoś w Starym Obozie da się namówić za kilka przysług na coś? Sporo Cieni kręcących się przy aptece mocno siedzi w tej dziedzinie…</t>
  </si>
  <si>
    <t>Dawka czyni truciznę</t>
  </si>
  <si>
    <t>W Varancie na takie praktyki patrzą normalnie, a tutaj wszyscy mają problem jak publicznie powiesz, że chcesz pracować z truciznami. Jeżeli chcesz zacząć swoją przygodę z alchemią to musisz znaleźć kogoś, kto spojrzy na Ciebie przychylniej i mniej będzie Cię oceniał przez pryzmat swojej wiary. W Bractwie na pewno się ktoś znajdzie - podczas jednej z wizyt w Slumsach Nowicjusze wspominali imię Mosir, jako kogoś, kto bardzo dobrze się zna na alchemii. Poza tym słyszałeś też o Boronie z Nowego Obozu. Któreś z nich może być chętne Ci pomóc w nauce.</t>
  </si>
  <si>
    <t>Omnibus</t>
  </si>
  <si>
    <t>Jest przed Tobą tyle możliwości… W Slumsach możesz próbować nauczyć się praktycznie wszystkiego, przynajmniej do pewnego poziomu. Są Myśliwi z bandy Cieni, tuż obok przesiaduje cały czas jeden z Magów Ognia, a już widziałeś jak Chudy zainteresował się ostatnio alchemią… Tylko co wybrać? Jedną z tych rzeczy czy może uda Ci się nauczyć wszystkiego?</t>
  </si>
  <si>
    <t>Stir It, Don’t Shake It</t>
  </si>
  <si>
    <t>Sometimes you have to find other ways to earn money as a Digger. Alchemy seems to be an obvious choice here - many people try this and succeed. Possibly right now it is your time to shine. But where to start? Chudy was lately trying something in this subject. And also there is Golem, who you’ve seen a couple times with herbs and some flasks… maybe some of the other Diggers will also know more about the alchemists in the Colony.</t>
  </si>
  <si>
    <t>Mały wywar, wielki smród</t>
  </si>
  <si>
    <t>No coś ze swoim czasem poza Kopalnią musisz zrobić teraz. Zapotrzebowanie na wszelkie mikstury jest w całej Kolonii spore, a przy okazji Ty możesz mieć dostęp do zasobów Twoich ciężko pracujących znajomych ze Slumsów - czas na naukę alchemii. Tylko gdzie… Ileś razy słyszałeś o tym, jak to w Nowym Obozie jest mnóstwo alchemików. Mag Eridan najczęściej się przewijał w tych wszystkich opowieściach przy piwie. Jak Cię do niego dopuszczą to może Cię czegoś nauczy, a jak nie… To przecież łatwo się tam potknąć o innego alchemika.</t>
  </si>
  <si>
    <t>Makowiec</t>
  </si>
  <si>
    <t>Jesteś jeszcze świeży, bez powiązań, bez większych przyjaźni poza rodziną. I masz ciągłe wrażenie, że jak się tylko odwrócisz to coś się dzieje za Twoimi plecami. Cały czas poza granicami Twojego wzroku, cały czas ktoś coś przed Tobą ukrywa. Chcesz czuć się częścią czegoś, chcesz przynależeć.
Zupełnym przypadkiem po jednej z szycht w Kopalni Nolan złapał za fraki właśnie Ciebie i chwilę jeszcze przytrzymał w szybie. Na początku dał Ci znać, jak bardzo jesteś tu nikim, a potem dał propozycję. Dowiesz się o jak największej liczbie tajnych grup w Slumsach i wszystko mu ładnie powiesz, a on przekaże o Tobie dobre słowo.
Tylko czy lepiej faktycznie próbować się wybić czy trzymać się swoich?</t>
  </si>
  <si>
    <t>Grube lolo</t>
  </si>
  <si>
    <t>Problemy z pamięcią nie ustępują, a krótkie przebłyski jasności, gdy Twoi bracia napoją Cię ryżówką nie trwają dość długo, by móc normalnie funkcjonować. Ostatnią deską ratunku - Obóz na Bagnie. Słyszałeś kiedyś podobną do swojej opowieść o druidzie o imieniu Koko zaklętym w ciało gorylicy. Ze względu na błąd w rzucaniu zaklęcia utknął w tej formie, zatracając swoją osobowość. Podobnie jak w Twoim przypadku, jedynie duża ilość sfermentowanych bananów potrafiła przywrócić mu tymczasowo zmysły. Minęło wiele lat, a gdy wreszcie nadszedł na nią czas - stara, schorowana Gorylica Koko zapytana została przez swoich kolegów druidów, co zrobiłaby, gdyby była znowu młoda, jak w dniu niefortunnej przemiany. Odpowiedziała - "Pojechałabym do Ben Erai zajarać grube lolo". Nie wiesz dlaczego, mimo Twojej amnezji ta opowieść utkwiła Ci w pamięci. Ale istnieją podobno metody przygotowania bagiennego ziela pozwalające sięgnąć umysłem głębiej i dalej. Teraz tylko jak przekonać Twoich braci, by poszli ze wezwaniem Koko..?</t>
  </si>
  <si>
    <t>Zaginiona kosa</t>
  </si>
  <si>
    <t>Życie z amnezją ma swoje pozytywy - na przykład, nie przejmujesz się problemami. Bo o nich nie pamiętasz. Ma też swoje negatywy - gubisz rzeczy. Tym razem padło na Twój sztylet. Nie ruszałeś się od tygodnia z okolic Kopalni i Slumsów. A jednak straciłeś swoją broń. Jak do tego doszło? Nie wiesz.</t>
  </si>
  <si>
    <t xml:space="preserve">Sztylet Rudego Fai został w stróżówce Oduma. </t>
  </si>
  <si>
    <t>Świeci się i błyszczy</t>
  </si>
  <si>
    <t>W Kolonii trzeba się ustawić, a jednym z pierwszych kroków będzie awans na Cienia. Do tego pottrzeba poparcia wśród nich, a Tobie udało się dobrze dogadać z jednym... Landebert to specyficzny człowiek, ktorego pasją są wszelakie cenne i magiczne przedmioty. Oczywiście cena złota pod Barierą to co innego niż poza, ale wciąż takie rzeczy mają wartość dla wielu. Dogadałeś się z nim - dajesz znać, jeżeli zoabczysz jakiekolwiek artefatky tego typu i w razie potrzeby pośredniczysz w wymianie. Ostatnio właśnie doniosłeś mu o kilku błyskotkach i ciekawym pierścieniu z wprawioną bryłką rudy, które pojawiły się na kramie Fiska. Landebert był nieźle podekscytowany towarem, więc szybko polecił Ci przekazać Fiskowi liścik z prośbą o rezerwację przedmiotów, co niezwłocznie zrobiłeś. Przy wyjściu od Fiska zaczepił Cię jeszcze Cień Cedric, tak tylko pytając o to, jaki towar interesuje Landeberta. Nie wiesz w sumie co go to interesowało, ale przy najbliższej okazji może też warto o tym wspomnieć Twojemu "kumplowi".</t>
  </si>
  <si>
    <t>Szczurze ucho</t>
  </si>
  <si>
    <t>Zaczynasz budować swoją pozycję w slumsach. Dzięki sprytowi, niewinnemu wyglądowi i umiejętności słuchania, z łatwością zdobywasz zaufanie Kopaczy, przemytników i szemranych typów. Twoim zadaniem jest obserwować, słuchać i raportować – najpierw zwykłe rozmowy przy ogniskach, potem nastroje i niepokojące zmiany. Magowie Wody liczą na ciebie.</t>
  </si>
  <si>
    <t>Wątek WK, wpisał Aidan</t>
  </si>
  <si>
    <t>Godny sojusznik</t>
  </si>
  <si>
    <t>Magowie proszą cię, byś wypatrywała wśród Kopaczy kandydata do Wodnego Kręgu. Obserwuj, rozmawiaj, analizuj. Masz przekazać propozycję tylko temu, kto naprawdę na to zasługuje – silnemu, ale i rozsądnemu. Komuś, kto nie ugnie się pod butem Starego Obozu, ale też nie oszaleje jak sekciarze z Bagna. Znajdź potencjalnego kandydata do Wodnego Kręgu wśród kopaczy.</t>
  </si>
  <si>
    <t>Joplin czeka</t>
  </si>
  <si>
    <t>Joplin, zaniepokojony działaniem czarnego Jęzora, postanawia cię wezwać. Masz iść do niego – ponoć właśnie tobie ufa najbardziej. Przekaże ci, co wie.</t>
  </si>
  <si>
    <t>(Nie)Oczekiwane Spotkanie</t>
  </si>
  <si>
    <t>To miał być zwykły wieczór w karczmie, w trakcie którego przeanalizujesz trochę osób, napijesz się zimnego piwa i odetchniesz po całym dniu ciężkiej pracy. I tak było w istocie. Gwar, karczemny rejwach dudnił ci w uszach, gdy kolejne łyki złocistego, życiodajnego napoju spływały po twojej wyschniętej gardzieli. Przymknięte co jakiś czas oczy wciąż nosiły pod powiekami, niczym tatuaż, obraz kruszącej się skały. To właśnie wtedy ktoś dotknął Twojego ramienia. "Staw się u Alvareza, chce cię widzieć" - wyszeptane prosto w Twoje ucho słowa zmroziły cię, a po karku przebiegła ci mała armia chrząszczy. Gdy powieki się uniosły, dookoła ciebie nikogo już nie było. Ale przecież ci się nie przyśniło - maść iść na wizytę u Alvareza. I to lepiej szybciej, niż później.</t>
  </si>
  <si>
    <t>Łamaga!</t>
  </si>
  <si>
    <t>Co za niezdarna oferma! Lebiega, ciemięga, niedołęga, niemota, niezguła i SAFANDUŁA! Akurat uciekałeś przed dwójką strażników, chowając się między chatami w Starym Obozie i już wychodziłeś zza rogu gubiąc pościg, gdy nagle ni z tąd nizowąd pojawiło się to cielę na niedzielę - Strażnik Konus. Przygrzmocił w Ciebie tak, że wyrżnąłeś jak długi, upuszczając swoje dwie, uczciwie ukradzione esencje. Jemu potłukły się jakieś butelki ze szczynami, które ośmiela się nazywać miodem pitnym i oczywiście zaczał na ciebie krzyczeć jak nieparzony byk, wymachując swoją pałką. I co? I znów musiałeś uciekać. Według ciebie jesteście kwita - ten jego sik błotnego węża pewnie był wart dwa razy mniej niż Twoje esencje. Kto wie, może jeszcze tam są? Tylko które to były chaty...?</t>
  </si>
  <si>
    <t>Nosił WIlk razy kilka...</t>
  </si>
  <si>
    <t>Dużo Was nie łączyło... wiadomo, pracowaliście razem, razem odpoczywaliście, wszyscy myśleliście jak się stąd wyrwać... Ale podczas tych przypadkowych rozmów połączyły Was wspomnienia - wspomnienia dotyczące tego jednego strażnika z Khorinis, którego wszyscy spotkaliście, i który każde z Was katował w więzieniu. To Was połączyło i dało trochę spokoju. Ale któregoś dnia w końcu to imię znowu padło i to w konteście strażnika, ale tutaj w Kolonii, w Starym Obozie!
Czy to faktycznie on? Czy to jest właśnie okazja do zemsty? Macie tyle możliwości i kontaktów - czas najwyzszy to wykorzystać i sprawić, by poczuł to co Wy czuliście. Nadszedł czas, by Wolfa spotkały konsekwencje.</t>
  </si>
  <si>
    <t>The Pickaxe Festival</t>
  </si>
  <si>
    <t>From father to son, from hand to another - the Pickaxe is not only a tool in a shed, it's the symbol. Of work, of survival and for some of us of hope for the better tomorrow. The Pickaxe Festival is the most important event in the lifecycle of the Mine. It is when the crawlers' jaws go silent and even the Guards look at Diggers with a tongue in cheek. It's the time to remember those who never left the shafts, the first hit into the ore and last breath before going underground. It's the day during which Diggers tell each other stories, sing, drink and - if brave enough - compete in feats of strenght, wits and endurance.
This year the Pickaxe Festival kicks off on Thursday at 16:00 within Slums. Bring what's best - not talking about shinies, but about your heart. Maybe we'll have a showcase of old tools, maybe improvised fights or perhaps only a shared drink and laughter? One thing is certain. Who doesn't celebrate with brethren of the Mine, will never understand how it feels to live under the ground.</t>
  </si>
  <si>
    <t>Echoes of the Past</t>
  </si>
  <si>
    <t>Three months ago, the world was set ablaze. We all stood there. Some watched in fascination as balls of fire gathered in mages' hands. Others, terrified, with paranoia hidden behind the blackness of their pupils, looked for signs that the Necromancer would return after all. And then there were those who were too sober to rejoice and too drunk to be afraid. The sky lit up, the earth shook, and the echo of Magess Lux's howl still reverberates through the corridors of the old mine. We were washing off the blood from our shirts for a good two weeks. Her explosion not only burned the stones on the cobblestones below the castle—it burned something inside us. Everything has changed since then.
Gomez, the old fox, sensed an opportunity to expand his influence and get rid of the stench from the Camp. When convicts began arriving with each transport and there was no more room in the tavern, he ordered the Slums to be built right at the entrance to the shaft. A few tents and fences, hastily put together, reeking of sweat, blood, and fear. Cramped, like Mud's pants. It's a new home for the lost and an old bunk for those who gnawed their teeth on someone else's ore. Officially, there is no authority there – but every fool knows who pulls the strings. Eddy – a fixer, a dealer, a thief – has an ear in every wall and somehow never works, yet lives like a king with the guards. And if anyone stands up to him, Golem comes. An old miner, whose nickname is legendary, who has become a pillar and support for the Diggers' unity.
But that's not all. Stories circulate among us – about the fifth brigade, about Magnus. Rumors chase rumors and spread further and further, and although mouths are tightly shut, the memory remains in small gestures, whispers, and letters. There are more of us now, so there is a new shift. The sixth. A punishment shift. Those who have fallen foul of the higher-ups end up there. One wrong look, one comment in the wrong place, and you're kicking with them, without sleep, without food, under the guard of someone who is more beast than man. Better to die in the slums than end up in the sixth, they say. And I think they're right.
The tension is growing. The guards are pulling out their weapons more and more often – even for nothing. A simple argument over a piece of bread can end in broken ribs. We have to do something about it, and we will. Forget about rebellion, they'll drown us in their own blood, and with such a supply of new convicts, it may even turn out to be good for them. But we have to protect ourselves somehow. Something has to be done to make our lives better, because it can't go on like this. And then there are the rumors... Someone says that the barrier is shifting. That something is changing. That those who disappear at night are not victims of bandits, but... something worse. But those are just fairy tales, right? Who would believe rumors spread between one drink and another?</t>
  </si>
  <si>
    <t>Skazańcy</t>
  </si>
  <si>
    <t>Służący</t>
  </si>
  <si>
    <t>Cienie</t>
  </si>
  <si>
    <t>Strażnicy</t>
  </si>
  <si>
    <t>Magowie Ognia</t>
  </si>
  <si>
    <t>Magnaci</t>
  </si>
  <si>
    <t>Krety</t>
  </si>
  <si>
    <t>Szkodniki</t>
  </si>
  <si>
    <t>Najemnicy</t>
  </si>
  <si>
    <t>Magowie Wody</t>
  </si>
  <si>
    <t>Nowicjusze</t>
  </si>
  <si>
    <t>Strażnicy Świątynni</t>
  </si>
  <si>
    <t>Guru</t>
  </si>
  <si>
    <t>Ardea</t>
  </si>
  <si>
    <t>Cape Dun</t>
  </si>
  <si>
    <t>Gotha</t>
  </si>
  <si>
    <t>Trelis</t>
  </si>
  <si>
    <t>Mora Sul</t>
  </si>
  <si>
    <t>Bakaresh</t>
  </si>
  <si>
    <t>Braga</t>
  </si>
  <si>
    <t>Ben Erai</t>
  </si>
  <si>
    <t>Ben Sala</t>
  </si>
  <si>
    <t>Wilcze Leże</t>
  </si>
  <si>
    <t>Klan Młota</t>
  </si>
  <si>
    <t>Klan Ognia</t>
  </si>
  <si>
    <t>Wschodni Archipelag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</si>
</sst>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zł-415]"/>
  </numFmts>
  <fonts count="14">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sz val="10.0"/>
      <color rgb="FF000000"/>
      <name val="&quot;Google Sans&quot;"/>
    </font>
    <font>
      <sz val="10.0"/>
      <color theme="1"/>
      <name val="&quot;Google Sans&quot;"/>
    </font>
    <font>
      <sz val="9.0"/>
      <color rgb="FF000000"/>
      <name val="&quot;Google Sans&quot;"/>
    </font>
    <font>
      <u/>
      <sz val="9.0"/>
      <color rgb="FF1155CC"/>
      <name val="&quot;Google Sans&quot;"/>
    </font>
    <font>
      <b/>
      <color rgb="FFFF0000"/>
      <name val="Arial"/>
      <scheme val="minor"/>
    </font>
    <font>
      <color rgb="FF000000"/>
      <name val="Arial"/>
      <scheme val="minor"/>
    </font>
    <font>
      <color rgb="FF000000"/>
      <name val="Arial"/>
    </font>
    <font>
      <color theme="1"/>
      <name val="Arial"/>
    </font>
    <font>
      <sz val="10.0"/>
      <color rgb="FF080809"/>
      <name val="&quot;Segoe UI Historic&quot;"/>
    </font>
  </fonts>
  <fills count="14">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1" fillId="0" fontId="5" numFmtId="0" xfId="0" applyAlignment="1" applyBorder="1" applyFont="1">
      <alignment readingOrder="0" vertical="center"/>
    </xf>
    <xf borderId="1" fillId="0" fontId="6" numFmtId="0" xfId="0" applyAlignment="1" applyBorder="1" applyFont="1">
      <alignment readingOrder="0" vertical="center"/>
    </xf>
    <xf borderId="0" fillId="0" fontId="3" numFmtId="0" xfId="0" applyAlignment="1" applyFont="1">
      <alignment vertical="center"/>
    </xf>
    <xf borderId="1" fillId="0" fontId="7"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8" numFmtId="0" xfId="0" applyAlignment="1" applyBorder="1" applyFont="1">
      <alignment readingOrder="0" vertical="center"/>
    </xf>
    <xf borderId="1" fillId="0" fontId="3" numFmtId="0" xfId="0" applyAlignment="1" applyBorder="1" applyFont="1">
      <alignment horizontal="left"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vertical="center"/>
    </xf>
    <xf borderId="0" fillId="0" fontId="3" numFmtId="0" xfId="0" applyAlignment="1" applyFont="1">
      <alignment horizontal="left" readingOrder="0" vertical="center"/>
    </xf>
    <xf borderId="0" fillId="0" fontId="3" numFmtId="0" xfId="0" applyAlignment="1" applyFont="1">
      <alignment readingOrder="0" vertical="center"/>
    </xf>
    <xf borderId="1" fillId="0" fontId="3" numFmtId="0" xfId="0" applyAlignment="1" applyBorder="1" applyFont="1">
      <alignment horizontal="left" vertical="center"/>
    </xf>
    <xf borderId="1" fillId="2" fontId="2" numFmtId="164" xfId="0" applyAlignment="1" applyBorder="1" applyFont="1" applyNumberFormat="1">
      <alignment horizontal="left" readingOrder="0" shrinkToFit="0" vertical="center" wrapText="1"/>
    </xf>
    <xf borderId="1" fillId="3" fontId="3" numFmtId="0" xfId="0" applyAlignment="1" applyBorder="1" applyFill="1" applyFont="1">
      <alignment horizontal="left" readingOrder="0" shrinkToFit="0" vertical="center" wrapText="1"/>
    </xf>
    <xf borderId="1" fillId="3" fontId="3" numFmtId="0" xfId="0" applyAlignment="1" applyBorder="1" applyFont="1">
      <alignment horizontal="left" readingOrder="0" vertical="center"/>
    </xf>
    <xf borderId="2" fillId="2" fontId="9" numFmtId="0" xfId="0" applyAlignment="1" applyBorder="1" applyFont="1">
      <alignment horizontal="left" readingOrder="0" shrinkToFit="0" vertical="center" wrapText="1"/>
    </xf>
    <xf borderId="2" fillId="3" fontId="9"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4" fontId="3" numFmtId="0" xfId="0" applyAlignment="1" applyFill="1" applyFont="1">
      <alignment horizontal="left" readingOrder="0" shrinkToFit="0" vertical="center" wrapText="1"/>
    </xf>
    <xf borderId="1" fillId="5" fontId="3"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center" wrapText="1"/>
    </xf>
    <xf borderId="1" fillId="3" fontId="11" numFmtId="0" xfId="0" applyAlignment="1" applyBorder="1" applyFont="1">
      <alignment horizontal="left" readingOrder="0" shrinkToFit="0" vertical="center" wrapText="1"/>
    </xf>
    <xf borderId="0" fillId="3" fontId="3" numFmtId="0" xfId="0" applyAlignment="1" applyFont="1">
      <alignment horizontal="left" shrinkToFit="0" vertical="center" wrapText="1"/>
    </xf>
    <xf borderId="0" fillId="3" fontId="3" numFmtId="0" xfId="0" applyAlignment="1" applyFont="1">
      <alignment horizontal="left" readingOrder="0" shrinkToFit="0" vertical="center" wrapText="1"/>
    </xf>
    <xf borderId="1" fillId="0" fontId="3" numFmtId="0" xfId="0" applyAlignment="1" applyBorder="1" applyFont="1">
      <alignment readingOrder="0" shrinkToFit="0" vertical="center" wrapText="1"/>
    </xf>
    <xf borderId="1" fillId="3" fontId="3" numFmtId="0" xfId="0" applyAlignment="1" applyBorder="1" applyFont="1">
      <alignment readingOrder="0" shrinkToFit="0" vertical="center" wrapText="1"/>
    </xf>
    <xf borderId="1" fillId="3" fontId="3"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3" fontId="12" numFmtId="0" xfId="0" applyAlignment="1" applyBorder="1" applyFont="1">
      <alignment horizontal="left" readingOrder="0" shrinkToFit="0" vertical="center" wrapText="1"/>
    </xf>
    <xf borderId="0" fillId="0" fontId="12" numFmtId="0" xfId="0" applyAlignment="1" applyFont="1">
      <alignment horizontal="left" shrinkToFit="0" vertical="center" wrapText="1"/>
    </xf>
    <xf borderId="1" fillId="0" fontId="11"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readingOrder="0" shrinkToFit="0" wrapText="1"/>
    </xf>
    <xf borderId="1" fillId="3" fontId="3" numFmtId="0" xfId="0" applyAlignment="1" applyBorder="1" applyFont="1">
      <alignment horizontal="left" shrinkToFit="0" vertical="center" wrapText="1"/>
    </xf>
    <xf borderId="0" fillId="0" fontId="3" numFmtId="0" xfId="0" applyAlignment="1" applyFont="1">
      <alignment readingOrder="0" shrinkToFit="0" wrapText="1"/>
    </xf>
    <xf borderId="1" fillId="4" fontId="3" numFmtId="0" xfId="0" applyAlignment="1" applyBorder="1" applyFont="1">
      <alignment horizontal="left" readingOrder="0" shrinkToFit="0" vertical="center" wrapText="1"/>
    </xf>
    <xf borderId="0" fillId="0" fontId="13" numFmtId="0" xfId="0" applyAlignment="1" applyFont="1">
      <alignment readingOrder="0" shrinkToFit="0" wrapText="1"/>
    </xf>
    <xf borderId="0" fillId="6" fontId="4" numFmtId="0" xfId="0" applyAlignment="1" applyFill="1" applyFont="1">
      <alignment readingOrder="0"/>
    </xf>
    <xf borderId="0" fillId="7" fontId="3" numFmtId="0" xfId="0" applyAlignment="1" applyFill="1" applyFont="1">
      <alignment readingOrder="0"/>
    </xf>
    <xf borderId="0" fillId="7" fontId="4" numFmtId="0" xfId="0" applyAlignment="1" applyFont="1">
      <alignment readingOrder="0"/>
    </xf>
    <xf borderId="0" fillId="8" fontId="3" numFmtId="0" xfId="0" applyFill="1" applyFont="1"/>
    <xf borderId="0" fillId="9" fontId="3" numFmtId="0" xfId="0" applyFill="1" applyFont="1"/>
    <xf borderId="0" fillId="7" fontId="3" numFmtId="0" xfId="0" applyFont="1"/>
    <xf borderId="0" fillId="10" fontId="3" numFmtId="0" xfId="0" applyAlignment="1" applyFill="1" applyFont="1">
      <alignment readingOrder="0"/>
    </xf>
    <xf borderId="0" fillId="11" fontId="3" numFmtId="0" xfId="0" applyAlignment="1" applyFill="1" applyFont="1">
      <alignment readingOrder="0"/>
    </xf>
    <xf borderId="0" fillId="12" fontId="3" numFmtId="0" xfId="0" applyAlignment="1" applyFill="1" applyFont="1">
      <alignment readingOrder="0"/>
    </xf>
    <xf borderId="0" fillId="12" fontId="3" numFmtId="0" xfId="0" applyFont="1"/>
    <xf borderId="0" fillId="1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6" width="15.13"/>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v>1.0</v>
      </c>
      <c r="B2" s="8" t="s">
        <v>12</v>
      </c>
      <c r="C2" s="7" t="s">
        <v>13</v>
      </c>
      <c r="D2" s="7" t="s">
        <v>14</v>
      </c>
      <c r="E2" s="7" t="s">
        <v>15</v>
      </c>
      <c r="F2" s="7"/>
      <c r="G2" s="7"/>
      <c r="H2" s="7"/>
      <c r="I2" s="7"/>
      <c r="J2" s="9"/>
      <c r="K2" s="10"/>
      <c r="L2" s="8"/>
      <c r="M2" s="3"/>
      <c r="N2" s="11"/>
      <c r="O2" s="11"/>
      <c r="P2" s="3"/>
      <c r="Q2" s="3"/>
      <c r="R2" s="3"/>
      <c r="S2" s="3"/>
      <c r="T2" s="3"/>
      <c r="U2" s="3"/>
      <c r="V2" s="3"/>
      <c r="W2" s="3"/>
      <c r="X2" s="3"/>
      <c r="Y2" s="3"/>
      <c r="Z2" s="3"/>
      <c r="AA2" s="3"/>
      <c r="AB2" s="3"/>
      <c r="AC2" s="3"/>
      <c r="AD2" s="3"/>
      <c r="AE2" s="3"/>
    </row>
    <row r="3">
      <c r="A3" s="7">
        <v>2.0</v>
      </c>
      <c r="B3" s="8" t="s">
        <v>16</v>
      </c>
      <c r="C3" s="8" t="s">
        <v>13</v>
      </c>
      <c r="D3" s="8" t="s">
        <v>17</v>
      </c>
      <c r="E3" s="8" t="s">
        <v>18</v>
      </c>
      <c r="F3" s="8"/>
      <c r="G3" s="7"/>
      <c r="H3" s="7"/>
      <c r="I3" s="8"/>
      <c r="J3" s="12"/>
      <c r="K3" s="12"/>
      <c r="L3" s="7"/>
      <c r="M3" s="3"/>
      <c r="N3" s="3"/>
      <c r="O3" s="3"/>
      <c r="P3" s="3"/>
      <c r="Q3" s="3"/>
      <c r="R3" s="3"/>
      <c r="S3" s="3"/>
      <c r="T3" s="3"/>
      <c r="U3" s="3"/>
      <c r="V3" s="3"/>
      <c r="W3" s="3"/>
      <c r="X3" s="3"/>
      <c r="Y3" s="3"/>
      <c r="Z3" s="3"/>
      <c r="AA3" s="3"/>
      <c r="AB3" s="3"/>
      <c r="AC3" s="3"/>
      <c r="AD3" s="3"/>
      <c r="AE3" s="3"/>
    </row>
    <row r="4">
      <c r="A4" s="7">
        <v>3.0</v>
      </c>
      <c r="B4" s="8" t="s">
        <v>19</v>
      </c>
      <c r="C4" s="7" t="s">
        <v>13</v>
      </c>
      <c r="D4" s="7" t="s">
        <v>14</v>
      </c>
      <c r="E4" s="7" t="s">
        <v>15</v>
      </c>
      <c r="F4" s="7"/>
      <c r="G4" s="7"/>
      <c r="H4" s="7"/>
      <c r="I4" s="7"/>
      <c r="J4" s="12"/>
      <c r="K4" s="12"/>
      <c r="L4" s="7"/>
      <c r="M4" s="3"/>
      <c r="N4" s="3"/>
      <c r="O4" s="3"/>
      <c r="P4" s="3"/>
      <c r="Q4" s="3"/>
      <c r="R4" s="3"/>
      <c r="S4" s="3"/>
      <c r="T4" s="3"/>
      <c r="U4" s="3"/>
      <c r="V4" s="3"/>
      <c r="W4" s="3"/>
      <c r="X4" s="3"/>
      <c r="Y4" s="3"/>
      <c r="Z4" s="3"/>
      <c r="AA4" s="3"/>
      <c r="AB4" s="3"/>
      <c r="AC4" s="3"/>
      <c r="AD4" s="3"/>
      <c r="AE4" s="3"/>
    </row>
    <row r="5">
      <c r="A5" s="7">
        <v>4.0</v>
      </c>
      <c r="B5" s="8" t="s">
        <v>20</v>
      </c>
      <c r="C5" s="7" t="s">
        <v>13</v>
      </c>
      <c r="D5" s="7" t="s">
        <v>14</v>
      </c>
      <c r="E5" s="7" t="s">
        <v>15</v>
      </c>
      <c r="F5" s="7"/>
      <c r="G5" s="7"/>
      <c r="H5" s="7"/>
      <c r="I5" s="13"/>
      <c r="J5" s="14"/>
      <c r="K5" s="14"/>
      <c r="L5" s="8"/>
      <c r="M5" s="3"/>
      <c r="N5" s="3"/>
      <c r="O5" s="3"/>
      <c r="P5" s="3"/>
      <c r="Q5" s="3"/>
      <c r="R5" s="3"/>
      <c r="S5" s="3"/>
      <c r="T5" s="3"/>
      <c r="U5" s="3"/>
      <c r="V5" s="3"/>
      <c r="W5" s="3"/>
      <c r="X5" s="3"/>
      <c r="Y5" s="3"/>
      <c r="Z5" s="3"/>
      <c r="AA5" s="3"/>
      <c r="AB5" s="3"/>
      <c r="AC5" s="3"/>
      <c r="AD5" s="3"/>
      <c r="AE5" s="3"/>
    </row>
    <row r="6">
      <c r="A6" s="7">
        <v>5.0</v>
      </c>
      <c r="B6" s="7" t="s">
        <v>21</v>
      </c>
      <c r="C6" s="8" t="s">
        <v>13</v>
      </c>
      <c r="D6" s="8" t="s">
        <v>22</v>
      </c>
      <c r="E6" s="8" t="s">
        <v>23</v>
      </c>
      <c r="F6" s="8"/>
      <c r="G6" s="7"/>
      <c r="H6" s="7"/>
      <c r="I6" s="8"/>
      <c r="J6" s="14"/>
      <c r="K6" s="14"/>
      <c r="L6" s="7"/>
      <c r="M6" s="3"/>
      <c r="N6" s="3"/>
      <c r="O6" s="3"/>
      <c r="P6" s="3"/>
      <c r="Q6" s="3"/>
      <c r="R6" s="3"/>
      <c r="S6" s="3"/>
      <c r="T6" s="3"/>
      <c r="U6" s="3"/>
      <c r="V6" s="3"/>
      <c r="W6" s="3"/>
      <c r="X6" s="3"/>
      <c r="Y6" s="3"/>
      <c r="Z6" s="3"/>
      <c r="AA6" s="3"/>
      <c r="AB6" s="3"/>
      <c r="AC6" s="3"/>
      <c r="AD6" s="3"/>
      <c r="AE6" s="3"/>
    </row>
    <row r="7">
      <c r="A7" s="7">
        <v>6.0</v>
      </c>
      <c r="B7" s="7" t="s">
        <v>24</v>
      </c>
      <c r="C7" s="8" t="s">
        <v>13</v>
      </c>
      <c r="D7" s="8" t="s">
        <v>14</v>
      </c>
      <c r="E7" s="8" t="s">
        <v>15</v>
      </c>
      <c r="F7" s="8"/>
      <c r="G7" s="7"/>
      <c r="H7" s="7"/>
      <c r="I7" s="15"/>
      <c r="J7" s="14"/>
      <c r="K7" s="14"/>
      <c r="L7" s="7"/>
      <c r="M7" s="3"/>
      <c r="N7" s="3"/>
      <c r="O7" s="3"/>
      <c r="P7" s="3"/>
      <c r="Q7" s="3"/>
      <c r="R7" s="3"/>
      <c r="S7" s="3"/>
      <c r="T7" s="3"/>
      <c r="U7" s="3"/>
      <c r="V7" s="3"/>
      <c r="W7" s="3"/>
      <c r="X7" s="3"/>
      <c r="Y7" s="3"/>
      <c r="Z7" s="3"/>
      <c r="AA7" s="3"/>
      <c r="AB7" s="3"/>
      <c r="AC7" s="3"/>
      <c r="AD7" s="3"/>
      <c r="AE7" s="3"/>
    </row>
    <row r="8">
      <c r="A8" s="7">
        <v>7.0</v>
      </c>
      <c r="B8" s="8" t="s">
        <v>25</v>
      </c>
      <c r="C8" s="8" t="s">
        <v>13</v>
      </c>
      <c r="D8" s="8" t="s">
        <v>17</v>
      </c>
      <c r="E8" s="8" t="s">
        <v>18</v>
      </c>
      <c r="F8" s="8"/>
      <c r="G8" s="7"/>
      <c r="H8" s="7"/>
      <c r="I8" s="8"/>
      <c r="J8" s="12"/>
      <c r="K8" s="12"/>
      <c r="L8" s="7"/>
      <c r="M8" s="3"/>
      <c r="N8" s="3"/>
      <c r="O8" s="3"/>
      <c r="P8" s="3"/>
      <c r="Q8" s="3"/>
      <c r="R8" s="3"/>
      <c r="S8" s="3"/>
      <c r="T8" s="3"/>
      <c r="U8" s="3"/>
      <c r="V8" s="3"/>
      <c r="W8" s="3"/>
      <c r="X8" s="3"/>
      <c r="Y8" s="3"/>
      <c r="Z8" s="3"/>
      <c r="AA8" s="3"/>
      <c r="AB8" s="3"/>
      <c r="AC8" s="3"/>
      <c r="AD8" s="3"/>
      <c r="AE8" s="3"/>
    </row>
    <row r="9">
      <c r="A9" s="7">
        <v>8.0</v>
      </c>
      <c r="B9" s="7" t="s">
        <v>26</v>
      </c>
      <c r="C9" s="8" t="s">
        <v>13</v>
      </c>
      <c r="D9" s="8" t="s">
        <v>14</v>
      </c>
      <c r="E9" s="8" t="s">
        <v>15</v>
      </c>
      <c r="F9" s="8"/>
      <c r="G9" s="7"/>
      <c r="H9" s="7"/>
      <c r="I9" s="8"/>
      <c r="J9" s="14"/>
      <c r="K9" s="14"/>
      <c r="L9" s="7"/>
      <c r="M9" s="3"/>
      <c r="N9" s="3"/>
      <c r="O9" s="3"/>
      <c r="P9" s="3"/>
      <c r="Q9" s="3"/>
      <c r="R9" s="3"/>
      <c r="S9" s="3"/>
      <c r="T9" s="3"/>
      <c r="U9" s="3"/>
      <c r="V9" s="3"/>
      <c r="W9" s="3"/>
      <c r="X9" s="3"/>
      <c r="Y9" s="3"/>
      <c r="Z9" s="3"/>
      <c r="AA9" s="3"/>
      <c r="AB9" s="3"/>
      <c r="AC9" s="3"/>
      <c r="AD9" s="3"/>
      <c r="AE9" s="3"/>
    </row>
    <row r="10">
      <c r="A10" s="7">
        <v>9.0</v>
      </c>
      <c r="B10" s="8" t="s">
        <v>27</v>
      </c>
      <c r="C10" s="8" t="s">
        <v>13</v>
      </c>
      <c r="D10" s="8" t="s">
        <v>14</v>
      </c>
      <c r="E10" s="8" t="s">
        <v>15</v>
      </c>
      <c r="F10" s="8"/>
      <c r="G10" s="7"/>
      <c r="H10" s="7"/>
      <c r="I10" s="8"/>
      <c r="J10" s="12"/>
      <c r="K10" s="12"/>
      <c r="L10" s="7"/>
      <c r="M10" s="3"/>
      <c r="N10" s="3"/>
      <c r="O10" s="3"/>
      <c r="P10" s="3"/>
      <c r="Q10" s="3"/>
      <c r="R10" s="3"/>
      <c r="S10" s="3"/>
      <c r="T10" s="3"/>
      <c r="U10" s="3"/>
      <c r="V10" s="3"/>
      <c r="W10" s="3"/>
      <c r="X10" s="3"/>
      <c r="Y10" s="3"/>
      <c r="Z10" s="3"/>
      <c r="AA10" s="3"/>
      <c r="AB10" s="3"/>
      <c r="AC10" s="3"/>
      <c r="AD10" s="3"/>
      <c r="AE10" s="3"/>
    </row>
    <row r="11">
      <c r="A11" s="7">
        <v>10.0</v>
      </c>
      <c r="B11" s="7" t="s">
        <v>28</v>
      </c>
      <c r="C11" s="8" t="s">
        <v>13</v>
      </c>
      <c r="D11" s="8" t="s">
        <v>17</v>
      </c>
      <c r="E11" s="8" t="s">
        <v>29</v>
      </c>
      <c r="F11" s="8"/>
      <c r="G11" s="8"/>
      <c r="H11" s="8"/>
      <c r="I11" s="15"/>
      <c r="J11" s="14"/>
      <c r="K11" s="14"/>
      <c r="L11" s="7"/>
      <c r="M11" s="3"/>
      <c r="N11" s="3"/>
      <c r="O11" s="3"/>
      <c r="P11" s="3"/>
      <c r="Q11" s="3"/>
      <c r="R11" s="3"/>
      <c r="S11" s="3"/>
      <c r="T11" s="3"/>
      <c r="U11" s="3"/>
      <c r="V11" s="3"/>
      <c r="W11" s="3"/>
      <c r="X11" s="3"/>
      <c r="Y11" s="3"/>
      <c r="Z11" s="3"/>
      <c r="AA11" s="3"/>
      <c r="AB11" s="3"/>
      <c r="AC11" s="3"/>
      <c r="AD11" s="3"/>
      <c r="AE11" s="3"/>
    </row>
    <row r="12">
      <c r="A12" s="7">
        <v>11.0</v>
      </c>
      <c r="B12" s="7" t="s">
        <v>30</v>
      </c>
      <c r="C12" s="8" t="s">
        <v>13</v>
      </c>
      <c r="D12" s="8" t="s">
        <v>17</v>
      </c>
      <c r="E12" s="8" t="s">
        <v>31</v>
      </c>
      <c r="F12" s="8"/>
      <c r="G12" s="7"/>
      <c r="H12" s="7"/>
      <c r="I12" s="15"/>
      <c r="J12" s="12"/>
      <c r="K12" s="12"/>
      <c r="L12" s="7"/>
      <c r="M12" s="3"/>
      <c r="N12" s="3"/>
      <c r="O12" s="3"/>
      <c r="P12" s="3"/>
      <c r="Q12" s="3"/>
      <c r="R12" s="3"/>
      <c r="S12" s="3"/>
      <c r="T12" s="3"/>
      <c r="U12" s="3"/>
      <c r="V12" s="3"/>
      <c r="W12" s="3"/>
      <c r="X12" s="3"/>
      <c r="Y12" s="3"/>
      <c r="Z12" s="3"/>
      <c r="AA12" s="3"/>
      <c r="AB12" s="3"/>
      <c r="AC12" s="3"/>
      <c r="AD12" s="3"/>
      <c r="AE12" s="3"/>
    </row>
    <row r="13">
      <c r="A13" s="7">
        <v>12.0</v>
      </c>
      <c r="B13" s="8" t="s">
        <v>32</v>
      </c>
      <c r="C13" s="8" t="s">
        <v>13</v>
      </c>
      <c r="D13" s="8" t="s">
        <v>14</v>
      </c>
      <c r="E13" s="8" t="s">
        <v>15</v>
      </c>
      <c r="F13" s="8"/>
      <c r="G13" s="7"/>
      <c r="H13" s="7"/>
      <c r="I13" s="8"/>
      <c r="J13" s="14"/>
      <c r="K13" s="14"/>
      <c r="L13" s="7"/>
      <c r="M13" s="3"/>
      <c r="N13" s="3"/>
      <c r="O13" s="3"/>
      <c r="P13" s="3"/>
      <c r="Q13" s="3"/>
      <c r="R13" s="3"/>
      <c r="S13" s="3"/>
      <c r="T13" s="3"/>
      <c r="U13" s="3"/>
      <c r="V13" s="3"/>
      <c r="W13" s="3"/>
      <c r="X13" s="3"/>
      <c r="Y13" s="3"/>
      <c r="Z13" s="3"/>
      <c r="AA13" s="3"/>
      <c r="AB13" s="3"/>
      <c r="AC13" s="3"/>
      <c r="AD13" s="3"/>
      <c r="AE13" s="3"/>
    </row>
    <row r="14">
      <c r="A14" s="7">
        <v>13.0</v>
      </c>
      <c r="B14" s="7" t="s">
        <v>33</v>
      </c>
      <c r="C14" s="8" t="s">
        <v>13</v>
      </c>
      <c r="D14" s="8" t="s">
        <v>17</v>
      </c>
      <c r="E14" s="8" t="s">
        <v>18</v>
      </c>
      <c r="F14" s="8"/>
      <c r="G14" s="7"/>
      <c r="H14" s="7"/>
      <c r="I14" s="8"/>
      <c r="J14" s="14"/>
      <c r="K14" s="14"/>
      <c r="L14" s="7"/>
      <c r="M14" s="3"/>
      <c r="N14" s="3"/>
      <c r="O14" s="3"/>
      <c r="P14" s="3"/>
      <c r="Q14" s="3"/>
      <c r="R14" s="3"/>
      <c r="S14" s="3"/>
      <c r="T14" s="3"/>
      <c r="U14" s="3"/>
      <c r="V14" s="3"/>
      <c r="W14" s="3"/>
      <c r="X14" s="3"/>
      <c r="Y14" s="3"/>
      <c r="Z14" s="3"/>
      <c r="AA14" s="3"/>
      <c r="AB14" s="3"/>
      <c r="AC14" s="3"/>
      <c r="AD14" s="3"/>
      <c r="AE14" s="3"/>
    </row>
    <row r="15">
      <c r="A15" s="7">
        <v>14.0</v>
      </c>
      <c r="B15" s="8" t="s">
        <v>34</v>
      </c>
      <c r="C15" s="8" t="s">
        <v>13</v>
      </c>
      <c r="D15" s="8" t="s">
        <v>17</v>
      </c>
      <c r="E15" s="8" t="s">
        <v>18</v>
      </c>
      <c r="F15" s="8"/>
      <c r="G15" s="7"/>
      <c r="H15" s="7"/>
      <c r="I15" s="8"/>
      <c r="J15" s="14"/>
      <c r="K15" s="14"/>
      <c r="L15" s="7"/>
      <c r="M15" s="3"/>
      <c r="N15" s="3"/>
      <c r="O15" s="3"/>
      <c r="P15" s="3"/>
      <c r="Q15" s="3"/>
      <c r="R15" s="3"/>
      <c r="S15" s="3"/>
      <c r="T15" s="3"/>
      <c r="U15" s="3"/>
      <c r="V15" s="3"/>
      <c r="W15" s="3"/>
      <c r="X15" s="3"/>
      <c r="Y15" s="3"/>
      <c r="Z15" s="3"/>
      <c r="AA15" s="3"/>
      <c r="AB15" s="3"/>
      <c r="AC15" s="3"/>
      <c r="AD15" s="3"/>
      <c r="AE15" s="3"/>
    </row>
    <row r="16">
      <c r="A16" s="7">
        <v>15.0</v>
      </c>
      <c r="B16" s="8" t="s">
        <v>35</v>
      </c>
      <c r="C16" s="8" t="s">
        <v>13</v>
      </c>
      <c r="D16" s="8" t="s">
        <v>22</v>
      </c>
      <c r="E16" s="8" t="s">
        <v>36</v>
      </c>
      <c r="F16" s="8"/>
      <c r="G16" s="7"/>
      <c r="H16" s="7"/>
      <c r="I16" s="8"/>
      <c r="J16" s="12"/>
      <c r="K16" s="12"/>
      <c r="L16" s="7"/>
      <c r="M16" s="3"/>
      <c r="N16" s="3"/>
      <c r="O16" s="3"/>
      <c r="P16" s="3"/>
      <c r="Q16" s="3"/>
      <c r="R16" s="3"/>
      <c r="S16" s="3"/>
      <c r="T16" s="3"/>
      <c r="U16" s="3"/>
      <c r="V16" s="3"/>
      <c r="W16" s="3"/>
      <c r="X16" s="3"/>
      <c r="Y16" s="3"/>
      <c r="Z16" s="3"/>
      <c r="AA16" s="3"/>
      <c r="AB16" s="3"/>
      <c r="AC16" s="3"/>
      <c r="AD16" s="3"/>
      <c r="AE16" s="3"/>
    </row>
    <row r="17">
      <c r="A17" s="7">
        <v>16.0</v>
      </c>
      <c r="B17" s="8" t="s">
        <v>37</v>
      </c>
      <c r="C17" s="8" t="s">
        <v>13</v>
      </c>
      <c r="D17" s="8" t="s">
        <v>14</v>
      </c>
      <c r="E17" s="8" t="s">
        <v>15</v>
      </c>
      <c r="F17" s="8"/>
      <c r="G17" s="7"/>
      <c r="H17" s="7"/>
      <c r="I17" s="8"/>
      <c r="J17" s="12"/>
      <c r="K17" s="12"/>
      <c r="L17" s="7"/>
      <c r="M17" s="3"/>
      <c r="N17" s="3"/>
      <c r="O17" s="3"/>
      <c r="P17" s="3"/>
      <c r="Q17" s="3"/>
      <c r="R17" s="3"/>
      <c r="S17" s="3"/>
      <c r="T17" s="3"/>
      <c r="U17" s="3"/>
      <c r="V17" s="3"/>
      <c r="W17" s="3"/>
      <c r="X17" s="3"/>
      <c r="Y17" s="3"/>
      <c r="Z17" s="3"/>
      <c r="AA17" s="3"/>
      <c r="AB17" s="3"/>
      <c r="AC17" s="3"/>
      <c r="AD17" s="3"/>
      <c r="AE17" s="3"/>
    </row>
    <row r="18">
      <c r="A18" s="7">
        <v>17.0</v>
      </c>
      <c r="B18" s="8" t="s">
        <v>38</v>
      </c>
      <c r="C18" s="8" t="s">
        <v>13</v>
      </c>
      <c r="D18" s="8" t="s">
        <v>14</v>
      </c>
      <c r="E18" s="8" t="s">
        <v>15</v>
      </c>
      <c r="F18" s="8"/>
      <c r="G18" s="7"/>
      <c r="H18" s="7"/>
      <c r="I18" s="8"/>
      <c r="J18" s="14"/>
      <c r="K18" s="14"/>
      <c r="L18" s="7"/>
      <c r="M18" s="3"/>
      <c r="N18" s="3"/>
      <c r="O18" s="3"/>
      <c r="P18" s="3"/>
      <c r="Q18" s="3"/>
      <c r="R18" s="3"/>
      <c r="S18" s="3"/>
      <c r="T18" s="3"/>
      <c r="U18" s="3"/>
      <c r="V18" s="3"/>
      <c r="W18" s="3"/>
      <c r="X18" s="3"/>
      <c r="Y18" s="3"/>
      <c r="Z18" s="3"/>
      <c r="AA18" s="3"/>
      <c r="AB18" s="3"/>
      <c r="AC18" s="3"/>
      <c r="AD18" s="3"/>
      <c r="AE18" s="3"/>
    </row>
    <row r="19">
      <c r="A19" s="7">
        <v>18.0</v>
      </c>
      <c r="B19" s="8" t="s">
        <v>39</v>
      </c>
      <c r="C19" s="8" t="s">
        <v>13</v>
      </c>
      <c r="D19" s="8" t="s">
        <v>17</v>
      </c>
      <c r="E19" s="8" t="s">
        <v>18</v>
      </c>
      <c r="F19" s="8"/>
      <c r="G19" s="16"/>
      <c r="H19" s="16"/>
      <c r="I19" s="8"/>
      <c r="J19" s="12"/>
      <c r="K19" s="12"/>
      <c r="L19" s="7"/>
      <c r="M19" s="3"/>
      <c r="N19" s="3"/>
      <c r="O19" s="3"/>
      <c r="P19" s="3"/>
      <c r="Q19" s="3"/>
      <c r="R19" s="3"/>
      <c r="S19" s="3"/>
      <c r="T19" s="3"/>
      <c r="U19" s="3"/>
      <c r="V19" s="3"/>
      <c r="W19" s="3"/>
      <c r="X19" s="3"/>
      <c r="Y19" s="3"/>
      <c r="Z19" s="3"/>
      <c r="AA19" s="3"/>
      <c r="AB19" s="3"/>
      <c r="AC19" s="3"/>
      <c r="AD19" s="3"/>
      <c r="AE19" s="3"/>
    </row>
    <row r="20">
      <c r="A20" s="7">
        <v>19.0</v>
      </c>
      <c r="B20" s="8" t="s">
        <v>40</v>
      </c>
      <c r="C20" s="8" t="s">
        <v>41</v>
      </c>
      <c r="D20" s="8" t="s">
        <v>17</v>
      </c>
      <c r="E20" s="8" t="s">
        <v>29</v>
      </c>
      <c r="F20" s="8"/>
      <c r="G20" s="7"/>
      <c r="H20" s="7"/>
      <c r="I20" s="8"/>
      <c r="J20" s="12"/>
      <c r="K20" s="12"/>
      <c r="L20" s="7"/>
      <c r="M20" s="3"/>
      <c r="N20" s="3"/>
      <c r="O20" s="3"/>
      <c r="P20" s="3"/>
      <c r="Q20" s="3"/>
      <c r="R20" s="3"/>
      <c r="S20" s="3"/>
      <c r="T20" s="3"/>
      <c r="U20" s="3"/>
      <c r="V20" s="3"/>
      <c r="W20" s="3"/>
      <c r="X20" s="3"/>
      <c r="Y20" s="3"/>
      <c r="Z20" s="3"/>
      <c r="AA20" s="3"/>
      <c r="AB20" s="3"/>
      <c r="AC20" s="3"/>
      <c r="AD20" s="3"/>
      <c r="AE20" s="3"/>
    </row>
    <row r="21">
      <c r="A21" s="7">
        <v>20.0</v>
      </c>
      <c r="B21" s="7" t="s">
        <v>42</v>
      </c>
      <c r="C21" s="8" t="s">
        <v>41</v>
      </c>
      <c r="D21" s="8" t="s">
        <v>17</v>
      </c>
      <c r="E21" s="8" t="s">
        <v>29</v>
      </c>
      <c r="F21" s="8"/>
      <c r="G21" s="7"/>
      <c r="H21" s="7"/>
      <c r="I21" s="8"/>
      <c r="J21" s="14"/>
      <c r="K21" s="14"/>
      <c r="L21" s="7"/>
      <c r="M21" s="3"/>
      <c r="N21" s="3"/>
      <c r="O21" s="3"/>
      <c r="P21" s="3"/>
      <c r="Q21" s="3"/>
      <c r="R21" s="3"/>
      <c r="S21" s="3"/>
      <c r="T21" s="3"/>
      <c r="U21" s="3"/>
      <c r="V21" s="3"/>
      <c r="W21" s="3"/>
      <c r="X21" s="3"/>
      <c r="Y21" s="3"/>
      <c r="Z21" s="3"/>
      <c r="AA21" s="3"/>
      <c r="AB21" s="3"/>
      <c r="AC21" s="3"/>
      <c r="AD21" s="3"/>
      <c r="AE21" s="3"/>
    </row>
    <row r="22">
      <c r="A22" s="7">
        <v>21.0</v>
      </c>
      <c r="B22" s="7" t="s">
        <v>43</v>
      </c>
      <c r="C22" s="8" t="s">
        <v>41</v>
      </c>
      <c r="D22" s="8" t="s">
        <v>22</v>
      </c>
      <c r="E22" s="8" t="s">
        <v>44</v>
      </c>
      <c r="F22" s="8"/>
      <c r="G22" s="17"/>
      <c r="H22" s="17"/>
      <c r="I22" s="8"/>
      <c r="J22" s="14"/>
      <c r="K22" s="14"/>
      <c r="L22" s="7"/>
      <c r="M22" s="3"/>
      <c r="N22" s="3"/>
      <c r="O22" s="3"/>
      <c r="P22" s="3"/>
      <c r="Q22" s="3"/>
      <c r="R22" s="3"/>
      <c r="S22" s="3"/>
      <c r="T22" s="3"/>
      <c r="U22" s="3"/>
      <c r="V22" s="3"/>
      <c r="W22" s="3"/>
      <c r="X22" s="3"/>
      <c r="Y22" s="3"/>
      <c r="Z22" s="3"/>
      <c r="AA22" s="3"/>
      <c r="AB22" s="3"/>
      <c r="AC22" s="3"/>
      <c r="AD22" s="3"/>
      <c r="AE22" s="3"/>
    </row>
    <row r="23">
      <c r="A23" s="7">
        <v>22.0</v>
      </c>
      <c r="B23" s="7" t="s">
        <v>45</v>
      </c>
      <c r="C23" s="8" t="s">
        <v>41</v>
      </c>
      <c r="D23" s="8" t="s">
        <v>17</v>
      </c>
      <c r="E23" s="8" t="s">
        <v>29</v>
      </c>
      <c r="F23" s="15"/>
      <c r="G23" s="7"/>
      <c r="H23" s="7"/>
      <c r="I23" s="15"/>
      <c r="J23" s="18"/>
      <c r="K23" s="18"/>
      <c r="L23" s="7"/>
      <c r="M23" s="3"/>
      <c r="N23" s="3"/>
      <c r="O23" s="3"/>
      <c r="P23" s="3"/>
      <c r="Q23" s="3"/>
      <c r="R23" s="3"/>
      <c r="S23" s="3"/>
      <c r="T23" s="3"/>
      <c r="U23" s="3"/>
      <c r="V23" s="3"/>
      <c r="W23" s="3"/>
      <c r="X23" s="3"/>
      <c r="Y23" s="3"/>
      <c r="Z23" s="3"/>
      <c r="AA23" s="3"/>
      <c r="AB23" s="3"/>
      <c r="AC23" s="3"/>
      <c r="AD23" s="3"/>
      <c r="AE23" s="3"/>
    </row>
    <row r="24">
      <c r="A24" s="7">
        <v>23.0</v>
      </c>
      <c r="B24" s="8" t="s">
        <v>46</v>
      </c>
      <c r="C24" s="8" t="s">
        <v>41</v>
      </c>
      <c r="D24" s="8" t="s">
        <v>22</v>
      </c>
      <c r="E24" s="8" t="s">
        <v>47</v>
      </c>
      <c r="F24" s="15"/>
      <c r="G24" s="7"/>
      <c r="H24" s="7"/>
      <c r="I24" s="8"/>
      <c r="J24" s="12"/>
      <c r="K24" s="12"/>
      <c r="L24" s="7"/>
      <c r="M24" s="3"/>
      <c r="N24" s="3"/>
      <c r="O24" s="3"/>
      <c r="P24" s="3"/>
      <c r="Q24" s="3"/>
      <c r="R24" s="3"/>
      <c r="S24" s="3"/>
      <c r="T24" s="3"/>
      <c r="U24" s="3"/>
      <c r="V24" s="3"/>
      <c r="W24" s="3"/>
      <c r="X24" s="3"/>
      <c r="Y24" s="3"/>
      <c r="Z24" s="3"/>
      <c r="AA24" s="3"/>
      <c r="AB24" s="3"/>
      <c r="AC24" s="3"/>
      <c r="AD24" s="3"/>
      <c r="AE24" s="3"/>
    </row>
    <row r="25">
      <c r="A25" s="7">
        <v>24.0</v>
      </c>
      <c r="B25" s="8" t="s">
        <v>48</v>
      </c>
      <c r="C25" s="8" t="s">
        <v>41</v>
      </c>
      <c r="D25" s="8" t="s">
        <v>49</v>
      </c>
      <c r="E25" s="8" t="s">
        <v>50</v>
      </c>
      <c r="F25" s="8"/>
      <c r="G25" s="7"/>
      <c r="H25" s="7"/>
      <c r="I25" s="15"/>
      <c r="J25" s="14"/>
      <c r="K25" s="14"/>
      <c r="L25" s="7"/>
      <c r="M25" s="3"/>
      <c r="N25" s="3"/>
      <c r="O25" s="3"/>
      <c r="P25" s="3"/>
      <c r="Q25" s="3"/>
      <c r="R25" s="3"/>
      <c r="S25" s="3"/>
      <c r="T25" s="3"/>
      <c r="U25" s="3"/>
      <c r="V25" s="3"/>
      <c r="W25" s="3"/>
      <c r="X25" s="3"/>
      <c r="Y25" s="3"/>
      <c r="Z25" s="3"/>
      <c r="AA25" s="3"/>
      <c r="AB25" s="3"/>
      <c r="AC25" s="3"/>
      <c r="AD25" s="3"/>
      <c r="AE25" s="3"/>
    </row>
    <row r="26">
      <c r="A26" s="7">
        <v>25.0</v>
      </c>
      <c r="B26" s="8" t="s">
        <v>51</v>
      </c>
      <c r="C26" s="8" t="s">
        <v>41</v>
      </c>
      <c r="D26" s="8" t="s">
        <v>22</v>
      </c>
      <c r="E26" s="8" t="s">
        <v>44</v>
      </c>
      <c r="F26" s="8"/>
      <c r="G26" s="7"/>
      <c r="H26" s="7"/>
      <c r="I26" s="15"/>
      <c r="J26" s="14"/>
      <c r="K26" s="14"/>
      <c r="L26" s="7"/>
      <c r="M26" s="3"/>
      <c r="N26" s="11"/>
      <c r="O26" s="19"/>
      <c r="P26" s="3"/>
      <c r="Q26" s="3"/>
      <c r="R26" s="3"/>
      <c r="S26" s="3"/>
      <c r="T26" s="3"/>
      <c r="U26" s="3"/>
      <c r="V26" s="3"/>
      <c r="W26" s="3"/>
      <c r="X26" s="3"/>
      <c r="Y26" s="3"/>
      <c r="Z26" s="3"/>
      <c r="AA26" s="3"/>
      <c r="AB26" s="3"/>
      <c r="AC26" s="3"/>
      <c r="AD26" s="3"/>
      <c r="AE26" s="3"/>
    </row>
    <row r="27">
      <c r="A27" s="7">
        <v>26.0</v>
      </c>
      <c r="B27" s="8" t="s">
        <v>52</v>
      </c>
      <c r="C27" s="8" t="s">
        <v>41</v>
      </c>
      <c r="D27" s="8" t="s">
        <v>53</v>
      </c>
      <c r="E27" s="8" t="s">
        <v>54</v>
      </c>
      <c r="F27" s="8"/>
      <c r="G27" s="7"/>
      <c r="H27" s="7"/>
      <c r="I27" s="15"/>
      <c r="J27" s="12"/>
      <c r="K27" s="12"/>
      <c r="L27" s="7"/>
      <c r="M27" s="3"/>
      <c r="N27" s="11"/>
      <c r="O27" s="20"/>
      <c r="P27" s="3"/>
      <c r="Q27" s="3"/>
      <c r="R27" s="3"/>
      <c r="S27" s="3"/>
      <c r="T27" s="3"/>
      <c r="U27" s="3"/>
      <c r="V27" s="3"/>
      <c r="W27" s="3"/>
      <c r="X27" s="3"/>
      <c r="Y27" s="3"/>
      <c r="Z27" s="3"/>
      <c r="AA27" s="3"/>
      <c r="AB27" s="3"/>
      <c r="AC27" s="3"/>
      <c r="AD27" s="3"/>
      <c r="AE27" s="3"/>
    </row>
    <row r="28">
      <c r="A28" s="7">
        <v>27.0</v>
      </c>
      <c r="B28" s="8" t="s">
        <v>55</v>
      </c>
      <c r="C28" s="8" t="s">
        <v>41</v>
      </c>
      <c r="D28" s="8" t="s">
        <v>56</v>
      </c>
      <c r="E28" s="8" t="s">
        <v>56</v>
      </c>
      <c r="F28" s="8"/>
      <c r="G28" s="7"/>
      <c r="H28" s="7"/>
      <c r="I28" s="15"/>
      <c r="J28" s="14"/>
      <c r="K28" s="14"/>
      <c r="L28" s="7"/>
      <c r="M28" s="3"/>
      <c r="N28" s="3"/>
      <c r="O28" s="3"/>
      <c r="P28" s="3"/>
      <c r="Q28" s="3"/>
      <c r="R28" s="3"/>
      <c r="S28" s="3"/>
      <c r="T28" s="3"/>
      <c r="U28" s="3"/>
      <c r="V28" s="3"/>
      <c r="W28" s="3"/>
      <c r="X28" s="3"/>
      <c r="Y28" s="3"/>
      <c r="Z28" s="3"/>
      <c r="AA28" s="3"/>
      <c r="AB28" s="3"/>
      <c r="AC28" s="3"/>
      <c r="AD28" s="3"/>
      <c r="AE28" s="3"/>
    </row>
    <row r="29">
      <c r="A29" s="7">
        <v>28.0</v>
      </c>
      <c r="B29" s="8" t="s">
        <v>57</v>
      </c>
      <c r="C29" s="8" t="s">
        <v>41</v>
      </c>
      <c r="D29" s="8" t="s">
        <v>14</v>
      </c>
      <c r="E29" s="8" t="s">
        <v>58</v>
      </c>
      <c r="F29" s="15"/>
      <c r="G29" s="8"/>
      <c r="H29" s="8"/>
      <c r="I29" s="15"/>
      <c r="J29" s="14"/>
      <c r="K29" s="14"/>
      <c r="L29" s="7"/>
      <c r="M29" s="3"/>
      <c r="N29" s="11"/>
      <c r="O29" s="20"/>
      <c r="P29" s="3"/>
      <c r="Q29" s="3"/>
      <c r="R29" s="3"/>
      <c r="S29" s="3"/>
      <c r="T29" s="3"/>
      <c r="U29" s="3"/>
      <c r="V29" s="3"/>
      <c r="W29" s="3"/>
      <c r="X29" s="3"/>
      <c r="Y29" s="3"/>
      <c r="Z29" s="3"/>
      <c r="AA29" s="3"/>
      <c r="AB29" s="3"/>
      <c r="AC29" s="3"/>
      <c r="AD29" s="3"/>
      <c r="AE29" s="3"/>
    </row>
    <row r="30">
      <c r="A30" s="7">
        <v>29.0</v>
      </c>
      <c r="B30" s="7" t="s">
        <v>59</v>
      </c>
      <c r="C30" s="8" t="s">
        <v>41</v>
      </c>
      <c r="D30" s="8" t="s">
        <v>22</v>
      </c>
      <c r="E30" s="8" t="s">
        <v>44</v>
      </c>
      <c r="F30" s="15"/>
      <c r="G30" s="7"/>
      <c r="H30" s="7"/>
      <c r="I30" s="8"/>
      <c r="J30" s="14"/>
      <c r="K30" s="14"/>
      <c r="L30" s="7"/>
      <c r="M30" s="3"/>
      <c r="N30" s="3"/>
      <c r="O30" s="3"/>
      <c r="P30" s="3"/>
      <c r="Q30" s="3"/>
      <c r="R30" s="3"/>
      <c r="S30" s="3"/>
      <c r="T30" s="3"/>
      <c r="U30" s="3"/>
      <c r="V30" s="3"/>
      <c r="W30" s="3"/>
      <c r="X30" s="3"/>
      <c r="Y30" s="3"/>
      <c r="Z30" s="3"/>
      <c r="AA30" s="3"/>
      <c r="AB30" s="3"/>
      <c r="AC30" s="3"/>
      <c r="AD30" s="3"/>
      <c r="AE30" s="3"/>
    </row>
    <row r="31">
      <c r="A31" s="7">
        <v>30.0</v>
      </c>
      <c r="B31" s="8" t="s">
        <v>60</v>
      </c>
      <c r="C31" s="8" t="s">
        <v>41</v>
      </c>
      <c r="D31" s="8" t="s">
        <v>14</v>
      </c>
      <c r="E31" s="8" t="s">
        <v>58</v>
      </c>
      <c r="F31" s="8"/>
      <c r="G31" s="7"/>
      <c r="H31" s="7"/>
      <c r="I31" s="15"/>
      <c r="J31" s="12"/>
      <c r="K31" s="12"/>
      <c r="L31" s="7"/>
      <c r="M31" s="3"/>
      <c r="N31" s="3"/>
      <c r="O31" s="3"/>
      <c r="P31" s="3"/>
      <c r="Q31" s="3"/>
      <c r="R31" s="3"/>
      <c r="S31" s="3"/>
      <c r="T31" s="3"/>
      <c r="U31" s="3"/>
      <c r="V31" s="3"/>
      <c r="W31" s="3"/>
      <c r="X31" s="3"/>
      <c r="Y31" s="3"/>
      <c r="Z31" s="3"/>
      <c r="AA31" s="3"/>
      <c r="AB31" s="3"/>
      <c r="AC31" s="3"/>
      <c r="AD31" s="3"/>
      <c r="AE31" s="3"/>
    </row>
    <row r="32">
      <c r="A32" s="7">
        <v>31.0</v>
      </c>
      <c r="B32" s="8" t="s">
        <v>61</v>
      </c>
      <c r="C32" s="8" t="s">
        <v>41</v>
      </c>
      <c r="D32" s="8" t="s">
        <v>14</v>
      </c>
      <c r="E32" s="8" t="s">
        <v>58</v>
      </c>
      <c r="F32" s="8"/>
      <c r="G32" s="7"/>
      <c r="H32" s="7"/>
      <c r="I32" s="8"/>
      <c r="J32" s="14"/>
      <c r="K32" s="14"/>
      <c r="L32" s="7"/>
      <c r="M32" s="3"/>
      <c r="N32" s="3"/>
      <c r="O32" s="3"/>
      <c r="P32" s="3"/>
      <c r="Q32" s="3"/>
      <c r="R32" s="3"/>
      <c r="S32" s="3"/>
      <c r="T32" s="3"/>
      <c r="U32" s="3"/>
      <c r="V32" s="3"/>
      <c r="W32" s="3"/>
      <c r="X32" s="3"/>
      <c r="Y32" s="3"/>
      <c r="Z32" s="3"/>
      <c r="AA32" s="3"/>
      <c r="AB32" s="3"/>
      <c r="AC32" s="3"/>
      <c r="AD32" s="3"/>
      <c r="AE32" s="3"/>
    </row>
    <row r="33">
      <c r="A33" s="7">
        <v>32.0</v>
      </c>
      <c r="B33" s="8" t="s">
        <v>62</v>
      </c>
      <c r="C33" s="8" t="s">
        <v>13</v>
      </c>
      <c r="D33" s="8" t="s">
        <v>22</v>
      </c>
      <c r="E33" s="8" t="s">
        <v>44</v>
      </c>
      <c r="F33" s="8"/>
      <c r="G33" s="7"/>
      <c r="H33" s="7"/>
      <c r="I33" s="8"/>
      <c r="J33" s="14"/>
      <c r="K33" s="14"/>
      <c r="L33" s="7"/>
      <c r="M33" s="3"/>
      <c r="N33" s="11"/>
      <c r="O33" s="20"/>
      <c r="P33" s="3"/>
      <c r="Q33" s="3"/>
      <c r="R33" s="3"/>
      <c r="S33" s="3"/>
      <c r="T33" s="3"/>
      <c r="U33" s="3"/>
      <c r="V33" s="3"/>
      <c r="W33" s="3"/>
      <c r="X33" s="3"/>
      <c r="Y33" s="3"/>
      <c r="Z33" s="3"/>
      <c r="AA33" s="3"/>
      <c r="AB33" s="3"/>
      <c r="AC33" s="3"/>
      <c r="AD33" s="3"/>
      <c r="AE33" s="3"/>
    </row>
    <row r="34">
      <c r="A34" s="7">
        <v>33.0</v>
      </c>
      <c r="B34" s="8" t="s">
        <v>63</v>
      </c>
      <c r="C34" s="8" t="s">
        <v>41</v>
      </c>
      <c r="D34" s="8" t="s">
        <v>22</v>
      </c>
      <c r="E34" s="8" t="s">
        <v>44</v>
      </c>
      <c r="F34" s="15"/>
      <c r="G34" s="7"/>
      <c r="H34" s="7"/>
      <c r="I34" s="8"/>
      <c r="J34" s="14"/>
      <c r="K34" s="14"/>
      <c r="L34" s="7"/>
      <c r="M34" s="3"/>
      <c r="N34" s="11"/>
      <c r="O34" s="20"/>
      <c r="P34" s="3"/>
      <c r="Q34" s="3"/>
      <c r="R34" s="3"/>
      <c r="S34" s="3"/>
      <c r="T34" s="3"/>
      <c r="U34" s="3"/>
      <c r="V34" s="3"/>
      <c r="W34" s="3"/>
      <c r="X34" s="3"/>
      <c r="Y34" s="3"/>
      <c r="Z34" s="3"/>
      <c r="AA34" s="3"/>
      <c r="AB34" s="3"/>
      <c r="AC34" s="3"/>
      <c r="AD34" s="3"/>
      <c r="AE34" s="3"/>
    </row>
    <row r="35">
      <c r="A35" s="7">
        <v>34.0</v>
      </c>
      <c r="B35" s="8" t="s">
        <v>64</v>
      </c>
      <c r="C35" s="8" t="s">
        <v>41</v>
      </c>
      <c r="D35" s="8" t="s">
        <v>17</v>
      </c>
      <c r="E35" s="8" t="s">
        <v>65</v>
      </c>
      <c r="F35" s="8"/>
      <c r="G35" s="7"/>
      <c r="H35" s="7"/>
      <c r="I35" s="15"/>
      <c r="J35" s="14"/>
      <c r="K35" s="14"/>
      <c r="L35" s="7"/>
      <c r="M35" s="3"/>
      <c r="N35" s="11"/>
      <c r="O35" s="11"/>
      <c r="P35" s="3"/>
      <c r="Q35" s="3"/>
      <c r="R35" s="3"/>
      <c r="S35" s="3"/>
      <c r="T35" s="3"/>
      <c r="U35" s="3"/>
      <c r="V35" s="3"/>
      <c r="W35" s="3"/>
      <c r="X35" s="3"/>
      <c r="Y35" s="3"/>
      <c r="Z35" s="3"/>
      <c r="AA35" s="3"/>
      <c r="AB35" s="3"/>
      <c r="AC35" s="3"/>
      <c r="AD35" s="3"/>
      <c r="AE35" s="3"/>
    </row>
    <row r="36">
      <c r="A36" s="7">
        <v>35.0</v>
      </c>
      <c r="B36" s="8" t="s">
        <v>66</v>
      </c>
      <c r="C36" s="8" t="s">
        <v>41</v>
      </c>
      <c r="D36" s="8" t="s">
        <v>22</v>
      </c>
      <c r="E36" s="8" t="s">
        <v>44</v>
      </c>
      <c r="F36" s="8"/>
      <c r="G36" s="7"/>
      <c r="H36" s="7"/>
      <c r="I36" s="8"/>
      <c r="J36" s="14"/>
      <c r="K36" s="14"/>
      <c r="L36" s="7"/>
      <c r="M36" s="3"/>
      <c r="N36" s="11"/>
      <c r="O36" s="11"/>
      <c r="P36" s="3"/>
      <c r="Q36" s="3"/>
      <c r="R36" s="3"/>
      <c r="S36" s="3"/>
      <c r="T36" s="3"/>
      <c r="U36" s="3"/>
      <c r="V36" s="3"/>
      <c r="W36" s="3"/>
      <c r="X36" s="3"/>
      <c r="Y36" s="3"/>
      <c r="Z36" s="3"/>
      <c r="AA36" s="3"/>
      <c r="AB36" s="3"/>
      <c r="AC36" s="3"/>
      <c r="AD36" s="3"/>
      <c r="AE36" s="3"/>
    </row>
    <row r="37">
      <c r="A37" s="7">
        <v>36.0</v>
      </c>
      <c r="B37" s="8" t="s">
        <v>67</v>
      </c>
      <c r="C37" s="8" t="s">
        <v>41</v>
      </c>
      <c r="D37" s="8" t="s">
        <v>56</v>
      </c>
      <c r="E37" s="8" t="s">
        <v>56</v>
      </c>
      <c r="F37" s="15"/>
      <c r="G37" s="15"/>
      <c r="H37" s="15"/>
      <c r="I37" s="15"/>
      <c r="J37" s="15"/>
      <c r="K37" s="15"/>
      <c r="L37" s="15"/>
      <c r="M37" s="3"/>
      <c r="N37" s="3"/>
      <c r="O37" s="3"/>
      <c r="P37" s="3"/>
      <c r="Q37" s="3"/>
      <c r="R37" s="3"/>
      <c r="S37" s="3"/>
      <c r="T37" s="3"/>
      <c r="U37" s="3"/>
      <c r="V37" s="3"/>
      <c r="W37" s="3"/>
      <c r="X37" s="3"/>
      <c r="Y37" s="3"/>
      <c r="Z37" s="3"/>
      <c r="AA37" s="3"/>
      <c r="AB37" s="3"/>
      <c r="AC37" s="3"/>
      <c r="AD37" s="3"/>
      <c r="AE37" s="3"/>
    </row>
    <row r="38">
      <c r="A38" s="7">
        <v>37.0</v>
      </c>
      <c r="B38" s="8" t="s">
        <v>68</v>
      </c>
      <c r="C38" s="8" t="s">
        <v>41</v>
      </c>
      <c r="D38" s="8" t="s">
        <v>14</v>
      </c>
      <c r="E38" s="8" t="s">
        <v>15</v>
      </c>
      <c r="F38" s="15"/>
      <c r="G38" s="15"/>
      <c r="H38" s="15"/>
      <c r="I38" s="15"/>
      <c r="J38" s="15"/>
      <c r="K38" s="15"/>
      <c r="L38" s="15"/>
      <c r="M38" s="3"/>
      <c r="N38" s="3"/>
      <c r="O38" s="3"/>
      <c r="P38" s="3"/>
      <c r="Q38" s="3"/>
      <c r="R38" s="3"/>
      <c r="S38" s="3"/>
      <c r="T38" s="3"/>
      <c r="U38" s="3"/>
      <c r="V38" s="3"/>
      <c r="W38" s="3"/>
      <c r="X38" s="3"/>
      <c r="Y38" s="3"/>
      <c r="Z38" s="3"/>
      <c r="AA38" s="3"/>
      <c r="AB38" s="3"/>
      <c r="AC38" s="3"/>
      <c r="AD38" s="3"/>
      <c r="AE38" s="3"/>
    </row>
    <row r="39">
      <c r="A39" s="7">
        <v>38.0</v>
      </c>
      <c r="B39" s="8" t="s">
        <v>69</v>
      </c>
      <c r="C39" s="8" t="s">
        <v>41</v>
      </c>
      <c r="D39" s="8" t="s">
        <v>22</v>
      </c>
      <c r="E39" s="8" t="s">
        <v>44</v>
      </c>
      <c r="F39" s="15"/>
      <c r="G39" s="15"/>
      <c r="H39" s="15"/>
      <c r="I39" s="15"/>
      <c r="J39" s="15"/>
      <c r="K39" s="15"/>
      <c r="L39" s="15"/>
      <c r="M39" s="3"/>
      <c r="N39" s="3"/>
      <c r="O39" s="3"/>
      <c r="P39" s="3"/>
      <c r="Q39" s="3"/>
      <c r="R39" s="3"/>
      <c r="S39" s="3"/>
      <c r="T39" s="3"/>
      <c r="U39" s="3"/>
      <c r="V39" s="3"/>
      <c r="W39" s="3"/>
      <c r="X39" s="3"/>
      <c r="Y39" s="3"/>
      <c r="Z39" s="3"/>
      <c r="AA39" s="3"/>
      <c r="AB39" s="3"/>
      <c r="AC39" s="3"/>
      <c r="AD39" s="3"/>
      <c r="AE39" s="3"/>
    </row>
    <row r="40">
      <c r="A40" s="7">
        <v>39.0</v>
      </c>
      <c r="B40" s="8" t="s">
        <v>70</v>
      </c>
      <c r="C40" s="8" t="s">
        <v>41</v>
      </c>
      <c r="D40" s="8" t="s">
        <v>14</v>
      </c>
      <c r="E40" s="8" t="s">
        <v>15</v>
      </c>
      <c r="F40" s="15"/>
      <c r="G40" s="15"/>
      <c r="H40" s="15"/>
      <c r="I40" s="15"/>
      <c r="J40" s="15"/>
      <c r="K40" s="15"/>
      <c r="L40" s="15"/>
      <c r="M40" s="3"/>
      <c r="N40" s="3"/>
      <c r="O40" s="3"/>
      <c r="P40" s="3"/>
      <c r="Q40" s="3"/>
      <c r="R40" s="3"/>
      <c r="S40" s="3"/>
      <c r="T40" s="3"/>
      <c r="U40" s="3"/>
      <c r="V40" s="3"/>
      <c r="W40" s="3"/>
      <c r="X40" s="3"/>
      <c r="Y40" s="3"/>
      <c r="Z40" s="3"/>
      <c r="AA40" s="3"/>
      <c r="AB40" s="3"/>
      <c r="AC40" s="3"/>
      <c r="AD40" s="3"/>
      <c r="AE40" s="3"/>
    </row>
    <row r="41">
      <c r="A41" s="7">
        <v>40.0</v>
      </c>
      <c r="B41" s="8" t="s">
        <v>71</v>
      </c>
      <c r="C41" s="8" t="s">
        <v>41</v>
      </c>
      <c r="D41" s="8" t="s">
        <v>49</v>
      </c>
      <c r="E41" s="8" t="s">
        <v>50</v>
      </c>
      <c r="F41" s="15"/>
      <c r="G41" s="15"/>
      <c r="H41" s="15"/>
      <c r="I41" s="15"/>
      <c r="J41" s="15"/>
      <c r="K41" s="15"/>
      <c r="L41" s="15"/>
      <c r="M41" s="3"/>
      <c r="N41" s="3"/>
      <c r="O41" s="3"/>
      <c r="P41" s="3"/>
      <c r="Q41" s="3"/>
      <c r="R41" s="3"/>
      <c r="S41" s="3"/>
      <c r="T41" s="3"/>
      <c r="U41" s="3"/>
      <c r="V41" s="3"/>
      <c r="W41" s="3"/>
      <c r="X41" s="3"/>
      <c r="Y41" s="3"/>
      <c r="Z41" s="3"/>
      <c r="AA41" s="3"/>
      <c r="AB41" s="3"/>
      <c r="AC41" s="3"/>
      <c r="AD41" s="3"/>
      <c r="AE41" s="3"/>
    </row>
    <row r="42">
      <c r="A42" s="7">
        <v>41.0</v>
      </c>
      <c r="B42" s="8" t="s">
        <v>72</v>
      </c>
      <c r="C42" s="8" t="s">
        <v>41</v>
      </c>
      <c r="D42" s="8" t="s">
        <v>17</v>
      </c>
      <c r="E42" s="8" t="s">
        <v>73</v>
      </c>
      <c r="F42" s="15"/>
      <c r="G42" s="15"/>
      <c r="H42" s="15"/>
      <c r="I42" s="21"/>
      <c r="J42" s="15"/>
      <c r="K42" s="15"/>
      <c r="L42" s="15"/>
      <c r="M42" s="3"/>
      <c r="N42" s="3"/>
      <c r="O42" s="3"/>
      <c r="P42" s="3"/>
      <c r="Q42" s="3"/>
      <c r="R42" s="3"/>
      <c r="S42" s="3"/>
      <c r="T42" s="3"/>
      <c r="U42" s="3"/>
      <c r="V42" s="3"/>
      <c r="W42" s="3"/>
      <c r="X42" s="3"/>
      <c r="Y42" s="3"/>
      <c r="Z42" s="3"/>
      <c r="AA42" s="3"/>
      <c r="AB42" s="3"/>
      <c r="AC42" s="3"/>
      <c r="AD42" s="3"/>
      <c r="AE42" s="3"/>
    </row>
    <row r="43">
      <c r="A43" s="7">
        <v>42.0</v>
      </c>
      <c r="B43" s="8" t="s">
        <v>74</v>
      </c>
      <c r="C43" s="8" t="s">
        <v>41</v>
      </c>
      <c r="D43" s="8" t="s">
        <v>17</v>
      </c>
      <c r="E43" s="8" t="s">
        <v>73</v>
      </c>
      <c r="F43" s="15"/>
      <c r="G43" s="15"/>
      <c r="H43" s="15"/>
      <c r="I43" s="15"/>
      <c r="J43" s="15"/>
      <c r="K43" s="15"/>
      <c r="L43" s="15"/>
      <c r="M43" s="3"/>
      <c r="N43" s="3"/>
      <c r="O43" s="3"/>
      <c r="P43" s="3"/>
      <c r="Q43" s="3"/>
      <c r="R43" s="3"/>
      <c r="S43" s="3"/>
      <c r="T43" s="3"/>
      <c r="U43" s="3"/>
      <c r="V43" s="3"/>
      <c r="W43" s="3"/>
      <c r="X43" s="3"/>
      <c r="Y43" s="3"/>
      <c r="Z43" s="3"/>
      <c r="AA43" s="3"/>
      <c r="AB43" s="3"/>
      <c r="AC43" s="3"/>
      <c r="AD43" s="3"/>
      <c r="AE43" s="3"/>
    </row>
    <row r="44">
      <c r="A44" s="7">
        <v>43.0</v>
      </c>
      <c r="B44" s="8" t="s">
        <v>75</v>
      </c>
      <c r="C44" s="8" t="s">
        <v>41</v>
      </c>
      <c r="D44" s="8" t="s">
        <v>14</v>
      </c>
      <c r="E44" s="8" t="s">
        <v>15</v>
      </c>
      <c r="F44" s="15"/>
      <c r="G44" s="15"/>
      <c r="H44" s="15"/>
      <c r="I44" s="15"/>
      <c r="J44" s="15"/>
      <c r="K44" s="15"/>
      <c r="L44" s="15"/>
      <c r="M44" s="3"/>
      <c r="N44" s="3"/>
      <c r="O44" s="3"/>
      <c r="P44" s="3"/>
      <c r="Q44" s="3"/>
      <c r="R44" s="3"/>
      <c r="S44" s="3"/>
      <c r="T44" s="3"/>
      <c r="U44" s="3"/>
      <c r="V44" s="3"/>
      <c r="W44" s="3"/>
      <c r="X44" s="3"/>
      <c r="Y44" s="3"/>
      <c r="Z44" s="3"/>
      <c r="AA44" s="3"/>
      <c r="AB44" s="3"/>
      <c r="AC44" s="3"/>
      <c r="AD44" s="3"/>
      <c r="AE44" s="3"/>
    </row>
    <row r="45">
      <c r="A45" s="7">
        <v>44.0</v>
      </c>
      <c r="B45" s="8" t="s">
        <v>76</v>
      </c>
      <c r="C45" s="8" t="s">
        <v>41</v>
      </c>
      <c r="D45" s="8" t="s">
        <v>14</v>
      </c>
      <c r="E45" s="8" t="s">
        <v>15</v>
      </c>
      <c r="F45" s="15"/>
      <c r="G45" s="15"/>
      <c r="H45" s="15"/>
      <c r="I45" s="15"/>
      <c r="J45" s="15"/>
      <c r="K45" s="15"/>
      <c r="L45" s="15"/>
      <c r="M45" s="3"/>
      <c r="N45" s="3"/>
      <c r="O45" s="3"/>
      <c r="P45" s="3"/>
      <c r="Q45" s="3"/>
      <c r="R45" s="3"/>
      <c r="S45" s="3"/>
      <c r="T45" s="3"/>
      <c r="U45" s="3"/>
      <c r="V45" s="3"/>
      <c r="W45" s="3"/>
      <c r="X45" s="3"/>
      <c r="Y45" s="3"/>
      <c r="Z45" s="3"/>
      <c r="AA45" s="3"/>
      <c r="AB45" s="3"/>
      <c r="AC45" s="3"/>
      <c r="AD45" s="3"/>
      <c r="AE45" s="3"/>
    </row>
    <row r="46">
      <c r="A46" s="7">
        <v>45.0</v>
      </c>
      <c r="B46" s="8" t="s">
        <v>77</v>
      </c>
      <c r="C46" s="8" t="s">
        <v>41</v>
      </c>
      <c r="D46" s="8" t="s">
        <v>14</v>
      </c>
      <c r="E46" s="8" t="s">
        <v>15</v>
      </c>
      <c r="F46" s="15"/>
      <c r="G46" s="15"/>
      <c r="H46" s="15"/>
      <c r="I46" s="15"/>
      <c r="J46" s="15"/>
      <c r="K46" s="15"/>
      <c r="L46" s="15"/>
      <c r="M46" s="3"/>
      <c r="N46" s="3"/>
      <c r="O46" s="3"/>
      <c r="P46" s="3"/>
      <c r="Q46" s="3"/>
      <c r="R46" s="3"/>
      <c r="S46" s="3"/>
      <c r="T46" s="3"/>
      <c r="U46" s="3"/>
      <c r="V46" s="3"/>
      <c r="W46" s="3"/>
      <c r="X46" s="3"/>
      <c r="Y46" s="3"/>
      <c r="Z46" s="3"/>
      <c r="AA46" s="3"/>
      <c r="AB46" s="3"/>
      <c r="AC46" s="3"/>
      <c r="AD46" s="3"/>
      <c r="AE46" s="3"/>
    </row>
    <row r="47">
      <c r="A47" s="7">
        <v>46.0</v>
      </c>
      <c r="B47" s="8" t="s">
        <v>78</v>
      </c>
      <c r="C47" s="8" t="s">
        <v>41</v>
      </c>
      <c r="D47" s="8" t="s">
        <v>14</v>
      </c>
      <c r="E47" s="8" t="s">
        <v>15</v>
      </c>
      <c r="F47" s="15"/>
      <c r="G47" s="15"/>
      <c r="H47" s="15"/>
      <c r="I47" s="15"/>
      <c r="J47" s="15"/>
      <c r="K47" s="15"/>
      <c r="L47" s="15"/>
      <c r="M47" s="3"/>
      <c r="N47" s="3"/>
      <c r="O47" s="3"/>
      <c r="P47" s="3"/>
      <c r="Q47" s="3"/>
      <c r="R47" s="3"/>
      <c r="S47" s="3"/>
      <c r="T47" s="3"/>
      <c r="U47" s="3"/>
      <c r="V47" s="3"/>
      <c r="W47" s="3"/>
      <c r="X47" s="3"/>
      <c r="Y47" s="3"/>
      <c r="Z47" s="3"/>
      <c r="AA47" s="3"/>
      <c r="AB47" s="3"/>
      <c r="AC47" s="3"/>
      <c r="AD47" s="3"/>
      <c r="AE47" s="3"/>
    </row>
    <row r="48">
      <c r="A48" s="7">
        <v>47.0</v>
      </c>
      <c r="B48" s="8" t="s">
        <v>79</v>
      </c>
      <c r="C48" s="8" t="s">
        <v>41</v>
      </c>
      <c r="D48" s="8" t="s">
        <v>14</v>
      </c>
      <c r="E48" s="8" t="s">
        <v>15</v>
      </c>
      <c r="F48" s="15"/>
      <c r="G48" s="15"/>
      <c r="H48" s="15"/>
      <c r="I48" s="15"/>
      <c r="J48" s="15"/>
      <c r="K48" s="15"/>
      <c r="L48" s="7"/>
      <c r="M48" s="3"/>
      <c r="N48" s="3"/>
      <c r="O48" s="3"/>
      <c r="P48" s="3"/>
      <c r="Q48" s="3"/>
      <c r="R48" s="3"/>
      <c r="S48" s="3"/>
      <c r="T48" s="3"/>
      <c r="U48" s="3"/>
      <c r="V48" s="3"/>
      <c r="W48" s="3"/>
      <c r="X48" s="3"/>
      <c r="Y48" s="3"/>
      <c r="Z48" s="3"/>
      <c r="AA48" s="3"/>
      <c r="AB48" s="3"/>
      <c r="AC48" s="3"/>
      <c r="AD48" s="3"/>
      <c r="AE48" s="3"/>
    </row>
    <row r="49">
      <c r="A49" s="7">
        <v>48.0</v>
      </c>
      <c r="B49" s="8" t="s">
        <v>80</v>
      </c>
      <c r="C49" s="8" t="s">
        <v>41</v>
      </c>
      <c r="D49" s="8" t="s">
        <v>17</v>
      </c>
      <c r="E49" s="8" t="s">
        <v>18</v>
      </c>
      <c r="F49" s="15"/>
      <c r="G49" s="15"/>
      <c r="H49" s="15"/>
      <c r="I49" s="15"/>
      <c r="J49" s="15"/>
      <c r="K49" s="15"/>
      <c r="L49" s="7"/>
      <c r="M49" s="3"/>
      <c r="N49" s="3"/>
      <c r="O49" s="3"/>
      <c r="P49" s="3"/>
      <c r="Q49" s="3"/>
      <c r="R49" s="3"/>
      <c r="S49" s="3"/>
      <c r="T49" s="3"/>
      <c r="U49" s="3"/>
      <c r="V49" s="3"/>
      <c r="W49" s="3"/>
      <c r="X49" s="3"/>
      <c r="Y49" s="3"/>
      <c r="Z49" s="3"/>
      <c r="AA49" s="3"/>
      <c r="AB49" s="3"/>
      <c r="AC49" s="3"/>
      <c r="AD49" s="3"/>
      <c r="AE49" s="3"/>
    </row>
    <row r="50">
      <c r="A50" s="7">
        <v>49.0</v>
      </c>
      <c r="B50" s="8" t="s">
        <v>81</v>
      </c>
      <c r="C50" s="8" t="s">
        <v>41</v>
      </c>
      <c r="D50" s="8" t="s">
        <v>22</v>
      </c>
      <c r="E50" s="8" t="s">
        <v>44</v>
      </c>
      <c r="F50" s="15"/>
      <c r="G50" s="15"/>
      <c r="H50" s="15"/>
      <c r="I50" s="15"/>
      <c r="J50" s="15"/>
      <c r="K50" s="15"/>
      <c r="L50" s="7"/>
      <c r="M50" s="3"/>
      <c r="N50" s="3"/>
      <c r="O50" s="3"/>
      <c r="P50" s="3"/>
      <c r="Q50" s="3"/>
      <c r="R50" s="3"/>
      <c r="S50" s="3"/>
      <c r="T50" s="3"/>
      <c r="U50" s="3"/>
      <c r="V50" s="3"/>
      <c r="W50" s="3"/>
      <c r="X50" s="3"/>
      <c r="Y50" s="3"/>
      <c r="Z50" s="3"/>
      <c r="AA50" s="3"/>
      <c r="AB50" s="3"/>
      <c r="AC50" s="3"/>
      <c r="AD50" s="3"/>
      <c r="AE50" s="3"/>
    </row>
    <row r="51">
      <c r="A51" s="7">
        <v>50.0</v>
      </c>
      <c r="B51" s="8" t="s">
        <v>82</v>
      </c>
      <c r="C51" s="8" t="s">
        <v>41</v>
      </c>
      <c r="D51" s="8" t="s">
        <v>14</v>
      </c>
      <c r="E51" s="8" t="s">
        <v>15</v>
      </c>
      <c r="F51" s="15"/>
      <c r="G51" s="15"/>
      <c r="H51" s="15"/>
      <c r="I51" s="15"/>
      <c r="J51" s="15"/>
      <c r="K51" s="15"/>
      <c r="L51" s="15"/>
      <c r="M51" s="3"/>
      <c r="N51" s="3"/>
      <c r="O51" s="3"/>
      <c r="P51" s="3"/>
      <c r="Q51" s="3"/>
      <c r="R51" s="3"/>
      <c r="S51" s="3"/>
      <c r="T51" s="3"/>
      <c r="U51" s="3"/>
      <c r="V51" s="3"/>
      <c r="W51" s="3"/>
      <c r="X51" s="3"/>
      <c r="Y51" s="3"/>
      <c r="Z51" s="3"/>
      <c r="AA51" s="3"/>
      <c r="AB51" s="3"/>
      <c r="AC51" s="3"/>
      <c r="AD51" s="3"/>
      <c r="AE51" s="3"/>
    </row>
    <row r="52">
      <c r="A52" s="7">
        <v>51.0</v>
      </c>
      <c r="B52" s="8" t="s">
        <v>83</v>
      </c>
      <c r="C52" s="8" t="s">
        <v>41</v>
      </c>
      <c r="D52" s="8" t="s">
        <v>22</v>
      </c>
      <c r="E52" s="8" t="s">
        <v>44</v>
      </c>
      <c r="F52" s="15"/>
      <c r="G52" s="15"/>
      <c r="H52" s="15"/>
      <c r="I52" s="15"/>
      <c r="J52" s="15"/>
      <c r="K52" s="15"/>
      <c r="L52" s="15"/>
      <c r="M52" s="3"/>
      <c r="N52" s="3"/>
      <c r="O52" s="3"/>
      <c r="P52" s="3"/>
      <c r="Q52" s="3"/>
      <c r="R52" s="3"/>
      <c r="S52" s="3"/>
      <c r="T52" s="3"/>
      <c r="U52" s="3"/>
      <c r="V52" s="3"/>
      <c r="W52" s="3"/>
      <c r="X52" s="3"/>
      <c r="Y52" s="3"/>
      <c r="Z52" s="3"/>
      <c r="AA52" s="3"/>
      <c r="AB52" s="3"/>
      <c r="AC52" s="3"/>
      <c r="AD52" s="3"/>
      <c r="AE52" s="3"/>
    </row>
    <row r="53">
      <c r="A53" s="7">
        <v>52.0</v>
      </c>
      <c r="B53" s="8" t="s">
        <v>84</v>
      </c>
      <c r="C53" s="8" t="s">
        <v>41</v>
      </c>
      <c r="D53" s="8" t="s">
        <v>53</v>
      </c>
      <c r="E53" s="8" t="s">
        <v>85</v>
      </c>
      <c r="F53" s="15"/>
      <c r="G53" s="15"/>
      <c r="H53" s="15"/>
      <c r="I53" s="15"/>
      <c r="J53" s="15"/>
      <c r="K53" s="15"/>
      <c r="L53" s="15"/>
      <c r="M53" s="3"/>
      <c r="N53" s="3"/>
      <c r="O53" s="3"/>
      <c r="P53" s="3"/>
      <c r="Q53" s="3"/>
      <c r="R53" s="3"/>
      <c r="S53" s="3"/>
      <c r="T53" s="3"/>
      <c r="U53" s="3"/>
      <c r="V53" s="3"/>
      <c r="W53" s="3"/>
      <c r="X53" s="3"/>
      <c r="Y53" s="3"/>
      <c r="Z53" s="3"/>
      <c r="AA53" s="3"/>
      <c r="AB53" s="3"/>
      <c r="AC53" s="3"/>
      <c r="AD53" s="3"/>
      <c r="AE53" s="3"/>
    </row>
    <row r="54">
      <c r="A54" s="7">
        <v>53.0</v>
      </c>
      <c r="B54" s="8" t="s">
        <v>86</v>
      </c>
      <c r="C54" s="8" t="s">
        <v>41</v>
      </c>
      <c r="D54" s="8" t="s">
        <v>22</v>
      </c>
      <c r="E54" s="8" t="s">
        <v>44</v>
      </c>
      <c r="F54" s="15"/>
      <c r="G54" s="15"/>
      <c r="H54" s="15"/>
      <c r="I54" s="15"/>
      <c r="J54" s="15"/>
      <c r="K54" s="15"/>
      <c r="L54" s="15"/>
      <c r="M54" s="3"/>
      <c r="N54" s="3"/>
      <c r="O54" s="3"/>
      <c r="P54" s="3"/>
      <c r="Q54" s="3"/>
      <c r="R54" s="3"/>
      <c r="S54" s="3"/>
      <c r="T54" s="3"/>
      <c r="U54" s="3"/>
      <c r="V54" s="3"/>
      <c r="W54" s="3"/>
      <c r="X54" s="3"/>
      <c r="Y54" s="3"/>
      <c r="Z54" s="3"/>
      <c r="AA54" s="3"/>
      <c r="AB54" s="3"/>
      <c r="AC54" s="3"/>
      <c r="AD54" s="3"/>
      <c r="AE54" s="3"/>
    </row>
    <row r="55">
      <c r="A55" s="7">
        <v>54.0</v>
      </c>
      <c r="B55" s="8" t="s">
        <v>87</v>
      </c>
      <c r="C55" s="8" t="s">
        <v>41</v>
      </c>
      <c r="D55" s="8" t="s">
        <v>17</v>
      </c>
      <c r="E55" s="8" t="s">
        <v>29</v>
      </c>
      <c r="F55" s="15"/>
      <c r="G55" s="15"/>
      <c r="H55" s="15"/>
      <c r="I55" s="15"/>
      <c r="J55" s="15"/>
      <c r="K55" s="15"/>
      <c r="L55" s="15"/>
      <c r="M55" s="3"/>
      <c r="N55" s="3"/>
      <c r="O55" s="3"/>
      <c r="P55" s="3"/>
      <c r="Q55" s="3"/>
      <c r="R55" s="3"/>
      <c r="S55" s="3"/>
      <c r="T55" s="3"/>
      <c r="U55" s="3"/>
      <c r="V55" s="3"/>
      <c r="W55" s="3"/>
      <c r="X55" s="3"/>
      <c r="Y55" s="3"/>
      <c r="Z55" s="3"/>
      <c r="AA55" s="3"/>
      <c r="AB55" s="3"/>
      <c r="AC55" s="3"/>
      <c r="AD55" s="3"/>
      <c r="AE55" s="3"/>
    </row>
    <row r="56">
      <c r="A56" s="8">
        <v>55.0</v>
      </c>
      <c r="B56" s="8" t="s">
        <v>88</v>
      </c>
      <c r="C56" s="8" t="s">
        <v>41</v>
      </c>
      <c r="D56" s="8" t="s">
        <v>14</v>
      </c>
      <c r="E56" s="8" t="s">
        <v>15</v>
      </c>
      <c r="F56" s="15"/>
      <c r="G56" s="15"/>
      <c r="H56" s="15"/>
      <c r="I56" s="15"/>
      <c r="J56" s="15"/>
      <c r="K56" s="15"/>
      <c r="L56" s="15"/>
      <c r="M56" s="3"/>
      <c r="N56" s="3"/>
      <c r="O56" s="3"/>
      <c r="P56" s="3"/>
      <c r="Q56" s="3"/>
      <c r="R56" s="3"/>
      <c r="S56" s="3"/>
      <c r="T56" s="3"/>
      <c r="U56" s="3"/>
      <c r="V56" s="3"/>
      <c r="W56" s="3"/>
      <c r="X56" s="3"/>
      <c r="Y56" s="3"/>
      <c r="Z56" s="3"/>
      <c r="AA56" s="3"/>
      <c r="AB56" s="3"/>
      <c r="AC56" s="3"/>
      <c r="AD56" s="3"/>
      <c r="AE56" s="3"/>
    </row>
    <row r="57">
      <c r="A57" s="8">
        <v>56.0</v>
      </c>
      <c r="B57" s="8" t="s">
        <v>89</v>
      </c>
      <c r="C57" s="8" t="s">
        <v>41</v>
      </c>
      <c r="D57" s="8" t="s">
        <v>22</v>
      </c>
      <c r="E57" s="8" t="s">
        <v>44</v>
      </c>
      <c r="F57" s="15"/>
      <c r="G57" s="15"/>
      <c r="H57" s="15"/>
      <c r="I57" s="15"/>
      <c r="J57" s="15"/>
      <c r="K57" s="15"/>
      <c r="L57" s="15"/>
      <c r="M57" s="3"/>
      <c r="N57" s="3"/>
      <c r="O57" s="3"/>
      <c r="P57" s="3"/>
      <c r="Q57" s="3"/>
      <c r="R57" s="3"/>
      <c r="S57" s="3"/>
      <c r="T57" s="3"/>
      <c r="U57" s="3"/>
      <c r="V57" s="3"/>
      <c r="W57" s="3"/>
      <c r="X57" s="3"/>
      <c r="Y57" s="3"/>
      <c r="Z57" s="3"/>
      <c r="AA57" s="3"/>
      <c r="AB57" s="3"/>
      <c r="AC57" s="3"/>
      <c r="AD57" s="3"/>
      <c r="AE57" s="3"/>
    </row>
    <row r="58">
      <c r="A58" s="15"/>
      <c r="B58" s="15"/>
      <c r="C58" s="15"/>
      <c r="D58" s="15"/>
      <c r="E58" s="15"/>
      <c r="F58" s="15"/>
      <c r="G58" s="15"/>
      <c r="H58" s="15"/>
      <c r="I58" s="15"/>
      <c r="J58" s="15"/>
      <c r="K58" s="15"/>
      <c r="L58" s="15"/>
      <c r="M58" s="3"/>
      <c r="N58" s="3"/>
      <c r="O58" s="3"/>
      <c r="P58" s="3"/>
      <c r="Q58" s="3"/>
      <c r="R58" s="3"/>
      <c r="S58" s="3"/>
      <c r="T58" s="3"/>
      <c r="U58" s="3"/>
      <c r="V58" s="3"/>
      <c r="W58" s="3"/>
      <c r="X58" s="3"/>
      <c r="Y58" s="3"/>
      <c r="Z58" s="3"/>
      <c r="AA58" s="3"/>
      <c r="AB58" s="3"/>
      <c r="AC58" s="3"/>
      <c r="AD58" s="3"/>
      <c r="AE58" s="3"/>
    </row>
    <row r="59">
      <c r="A59" s="15"/>
      <c r="B59" s="15"/>
      <c r="C59" s="15"/>
      <c r="D59" s="15"/>
      <c r="E59" s="15"/>
      <c r="F59" s="15"/>
      <c r="G59" s="15"/>
      <c r="H59" s="15"/>
      <c r="I59" s="15"/>
      <c r="J59" s="15"/>
      <c r="K59" s="15"/>
      <c r="L59" s="15"/>
      <c r="M59" s="3"/>
      <c r="N59" s="3"/>
      <c r="O59" s="3"/>
      <c r="P59" s="3"/>
      <c r="Q59" s="3"/>
      <c r="R59" s="3"/>
      <c r="S59" s="3"/>
      <c r="T59" s="3"/>
      <c r="U59" s="3"/>
      <c r="V59" s="3"/>
      <c r="W59" s="3"/>
      <c r="X59" s="3"/>
      <c r="Y59" s="3"/>
      <c r="Z59" s="3"/>
      <c r="AA59" s="3"/>
      <c r="AB59" s="3"/>
      <c r="AC59" s="3"/>
      <c r="AD59" s="3"/>
      <c r="AE59" s="3"/>
    </row>
    <row r="60">
      <c r="A60" s="15"/>
      <c r="B60" s="15"/>
      <c r="C60" s="15"/>
      <c r="D60" s="15"/>
      <c r="E60" s="15"/>
      <c r="F60" s="15"/>
      <c r="G60" s="15"/>
      <c r="H60" s="15"/>
      <c r="I60" s="15"/>
      <c r="J60" s="15"/>
      <c r="K60" s="15"/>
      <c r="L60" s="15"/>
      <c r="M60" s="3"/>
      <c r="N60" s="3"/>
      <c r="O60" s="3"/>
      <c r="P60" s="3"/>
      <c r="Q60" s="3"/>
      <c r="R60" s="3"/>
      <c r="S60" s="3"/>
      <c r="T60" s="3"/>
      <c r="U60" s="3"/>
      <c r="V60" s="3"/>
      <c r="W60" s="3"/>
      <c r="X60" s="3"/>
      <c r="Y60" s="3"/>
      <c r="Z60" s="3"/>
      <c r="AA60" s="3"/>
      <c r="AB60" s="3"/>
      <c r="AC60" s="3"/>
      <c r="AD60" s="3"/>
      <c r="AE60" s="3"/>
    </row>
    <row r="61">
      <c r="A61" s="15"/>
      <c r="B61" s="8"/>
      <c r="C61" s="15"/>
      <c r="D61" s="15"/>
      <c r="E61" s="15"/>
      <c r="F61" s="15"/>
      <c r="G61" s="15"/>
      <c r="H61" s="15"/>
      <c r="I61" s="15"/>
      <c r="J61" s="15"/>
      <c r="K61" s="15"/>
      <c r="L61" s="15"/>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sheetData>
  <autoFilter ref="$A$1:$L$61"/>
  <dataValidations>
    <dataValidation type="list" allowBlank="1" showErrorMessage="1" sqref="E9">
      <formula1>Data_Validation!$H$201:$H$209</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custom" allowBlank="1" showDropDown="1" showInputMessage="1" showErrorMessage="1" prompt="Nie używaj średnika!" sqref="B2:B61 F2:L61">
      <formula1>ISERROR(SEARCH((";"),(B2)))</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36">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41">
      <formula1>Data_Validation!$AN$201:$AN$209</formula1>
    </dataValidation>
    <dataValidation type="list" allowBlank="1" showErrorMessage="1" sqref="E43">
      <formula1>Data_Validation!$AP$201:$AP$209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E58">
      <formula1>Data_Validation!$BE$201:$BE$209</formula1>
    </dataValidation>
    <dataValidation type="list" allowBlank="1" showErrorMessage="1" sqref="E20">
      <formula1>Data_Validation!$S$201:$S$209</formula1>
    </dataValidation>
    <dataValidation type="list" allowBlank="1" showErrorMessage="1" sqref="E60">
      <formula1>Data_Validation!$BG$201:$BG$209</formula1>
    </dataValidation>
    <dataValidation type="list" allowBlank="1" showErrorMessage="1" sqref="E10">
      <formula1>Data_Validation!$I$201:$I$209</formula1>
    </dataValidation>
    <dataValidation type="list" allowBlank="1" showErrorMessage="1" sqref="E57">
      <formula1>Data_Validation!$BD$201:$BD$209</formula1>
    </dataValidation>
    <dataValidation type="list" allowBlank="1" showErrorMessage="1" sqref="E53">
      <formula1>Data_Validation!$AZ$201:$AZ$209</formula1>
    </dataValidation>
    <dataValidation type="list" allowBlank="1" showErrorMessage="1" sqref="E55">
      <formula1>Data_Validation!$BB$201:$BB$209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51">
      <formula1>Data_Validation!$AX$201:$AX$209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61">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59">
      <formula1>Data_Validation!$BF$201:$BF$209</formula1>
    </dataValidation>
    <dataValidation type="list" allowBlank="1" showErrorMessage="1" sqref="E56">
      <formula1>Data_Validation!$BC$201:$BC$209</formula1>
    </dataValidation>
    <dataValidation type="list" allowBlank="1" showErrorMessage="1" sqref="C2:C61">
      <formula1>"TAK,NIE"</formula1>
    </dataValidation>
    <dataValidation type="list" allowBlank="1" showErrorMessage="1" sqref="E52">
      <formula1>Data_Validation!$AY$201:$AY$209</formula1>
    </dataValidation>
    <dataValidation type="list" allowBlank="1" showErrorMessage="1" sqref="E61">
      <formula1>Data_Validation!$BH$201:$BH$209</formula1>
    </dataValidation>
    <dataValidation type="list" allowBlank="1" showErrorMessage="1" sqref="E54">
      <formula1>Data_Validation!$BA$201:$BA$209</formula1>
    </dataValidation>
    <dataValidation type="list" allowBlank="1" showErrorMessage="1" sqref="E8">
      <formula1>Data_Validation!$G$201:$G$209</formula1>
    </dataValidation>
    <dataValidation type="decimal" allowBlank="1" showDropDown="1" showInputMessage="1" showErrorMessage="1" prompt="Podaj liczbę od 1 do 60" sqref="A2:A61">
      <formula1>1.0</formula1>
      <formula2>60.0</formula2>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list" allowBlank="1" showErrorMessage="1" sqref="E11">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25.0"/>
    <col customWidth="1" min="3" max="3" width="67.75"/>
    <col customWidth="1" min="6" max="6" width="12.63"/>
  </cols>
  <sheetData>
    <row r="1">
      <c r="A1" s="1" t="s">
        <v>0</v>
      </c>
      <c r="B1" s="22" t="s">
        <v>90</v>
      </c>
      <c r="C1" s="2" t="s">
        <v>91</v>
      </c>
      <c r="D1" s="3"/>
      <c r="E1" s="4"/>
      <c r="F1" s="5"/>
      <c r="G1" s="5"/>
      <c r="H1" s="6"/>
      <c r="I1" s="5"/>
      <c r="J1" s="3"/>
      <c r="K1" s="3"/>
      <c r="L1" s="3"/>
      <c r="M1" s="3"/>
      <c r="N1" s="3"/>
      <c r="O1" s="3"/>
      <c r="P1" s="3"/>
      <c r="Q1" s="3"/>
      <c r="R1" s="3"/>
      <c r="S1" s="3"/>
      <c r="T1" s="3"/>
      <c r="U1" s="3"/>
      <c r="V1" s="3"/>
    </row>
    <row r="2">
      <c r="A2" s="7">
        <v>1.0</v>
      </c>
      <c r="B2" s="8" t="s">
        <v>92</v>
      </c>
      <c r="C2" s="7" t="s">
        <v>93</v>
      </c>
      <c r="D2" s="3"/>
      <c r="E2" s="11"/>
      <c r="F2" s="11"/>
      <c r="G2" s="3"/>
      <c r="H2" s="3"/>
      <c r="I2" s="3"/>
      <c r="J2" s="3"/>
      <c r="K2" s="3"/>
      <c r="L2" s="3"/>
      <c r="M2" s="3"/>
      <c r="N2" s="3"/>
      <c r="O2" s="3"/>
      <c r="P2" s="3"/>
      <c r="Q2" s="3"/>
      <c r="R2" s="3"/>
      <c r="S2" s="3"/>
      <c r="T2" s="3"/>
      <c r="U2" s="3"/>
      <c r="V2" s="3"/>
    </row>
    <row r="3">
      <c r="A3" s="7">
        <v>2.0</v>
      </c>
      <c r="B3" s="8" t="s">
        <v>94</v>
      </c>
      <c r="C3" s="8" t="s">
        <v>95</v>
      </c>
      <c r="D3" s="3"/>
      <c r="E3" s="3"/>
      <c r="F3" s="3"/>
      <c r="G3" s="3"/>
      <c r="H3" s="3"/>
      <c r="I3" s="3"/>
      <c r="J3" s="3"/>
      <c r="K3" s="3"/>
      <c r="L3" s="3"/>
      <c r="M3" s="3"/>
      <c r="N3" s="3"/>
      <c r="O3" s="3"/>
      <c r="P3" s="3"/>
      <c r="Q3" s="3"/>
      <c r="R3" s="3"/>
      <c r="S3" s="3"/>
      <c r="T3" s="3"/>
      <c r="U3" s="3"/>
      <c r="V3" s="3"/>
    </row>
    <row r="4">
      <c r="A4" s="7">
        <v>3.0</v>
      </c>
      <c r="B4" s="8" t="s">
        <v>96</v>
      </c>
      <c r="C4" s="7" t="s">
        <v>97</v>
      </c>
      <c r="D4" s="3"/>
      <c r="E4" s="3"/>
      <c r="F4" s="3"/>
      <c r="G4" s="3"/>
      <c r="H4" s="3"/>
      <c r="I4" s="3"/>
      <c r="J4" s="3"/>
      <c r="K4" s="3"/>
      <c r="L4" s="3"/>
      <c r="M4" s="3"/>
      <c r="N4" s="3"/>
      <c r="O4" s="3"/>
      <c r="P4" s="3"/>
      <c r="Q4" s="3"/>
      <c r="R4" s="3"/>
      <c r="S4" s="3"/>
      <c r="T4" s="3"/>
      <c r="U4" s="3"/>
      <c r="V4" s="3"/>
    </row>
    <row r="5">
      <c r="A5" s="7">
        <v>4.0</v>
      </c>
      <c r="B5" s="8" t="s">
        <v>98</v>
      </c>
      <c r="C5" s="7" t="s">
        <v>99</v>
      </c>
      <c r="D5" s="3"/>
      <c r="E5" s="3"/>
      <c r="F5" s="3"/>
      <c r="G5" s="3"/>
      <c r="H5" s="3"/>
      <c r="I5" s="3"/>
      <c r="J5" s="3"/>
      <c r="K5" s="3"/>
      <c r="L5" s="3"/>
      <c r="M5" s="3"/>
      <c r="N5" s="3"/>
      <c r="O5" s="3"/>
      <c r="P5" s="3"/>
      <c r="Q5" s="3"/>
      <c r="R5" s="3"/>
      <c r="S5" s="3"/>
      <c r="T5" s="3"/>
      <c r="U5" s="3"/>
      <c r="V5" s="3"/>
    </row>
    <row r="6">
      <c r="A6" s="7">
        <v>5.0</v>
      </c>
      <c r="B6" s="23" t="s">
        <v>100</v>
      </c>
      <c r="C6" s="8" t="s">
        <v>101</v>
      </c>
      <c r="D6" s="3"/>
      <c r="E6" s="3"/>
      <c r="F6" s="3"/>
      <c r="G6" s="3"/>
      <c r="H6" s="3"/>
      <c r="I6" s="3"/>
      <c r="J6" s="3"/>
      <c r="K6" s="3"/>
      <c r="L6" s="3"/>
      <c r="M6" s="3"/>
      <c r="N6" s="3"/>
      <c r="O6" s="3"/>
      <c r="P6" s="3"/>
      <c r="Q6" s="3"/>
      <c r="R6" s="3"/>
      <c r="S6" s="3"/>
      <c r="T6" s="3"/>
      <c r="U6" s="3"/>
      <c r="V6" s="3"/>
    </row>
    <row r="7">
      <c r="A7" s="7">
        <v>6.0</v>
      </c>
      <c r="B7" s="7" t="s">
        <v>102</v>
      </c>
      <c r="C7" s="8" t="s">
        <v>103</v>
      </c>
      <c r="D7" s="3"/>
      <c r="E7" s="3"/>
      <c r="F7" s="3"/>
      <c r="G7" s="3"/>
      <c r="H7" s="3"/>
      <c r="I7" s="3"/>
      <c r="J7" s="3"/>
      <c r="K7" s="3"/>
      <c r="L7" s="3"/>
      <c r="M7" s="3"/>
      <c r="N7" s="3"/>
      <c r="O7" s="3"/>
      <c r="P7" s="3"/>
      <c r="Q7" s="3"/>
      <c r="R7" s="3"/>
      <c r="S7" s="3"/>
      <c r="T7" s="3"/>
      <c r="U7" s="3"/>
      <c r="V7" s="3"/>
    </row>
    <row r="8">
      <c r="A8" s="7">
        <v>7.0</v>
      </c>
      <c r="B8" s="8" t="s">
        <v>104</v>
      </c>
      <c r="C8" s="8" t="s">
        <v>105</v>
      </c>
      <c r="D8" s="3"/>
      <c r="E8" s="3"/>
      <c r="F8" s="3"/>
      <c r="G8" s="3"/>
      <c r="H8" s="3"/>
      <c r="I8" s="3"/>
      <c r="J8" s="3"/>
      <c r="K8" s="3"/>
      <c r="L8" s="3"/>
      <c r="M8" s="3"/>
      <c r="N8" s="3"/>
      <c r="O8" s="3"/>
      <c r="P8" s="3"/>
      <c r="Q8" s="3"/>
      <c r="R8" s="3"/>
      <c r="S8" s="3"/>
      <c r="T8" s="3"/>
      <c r="U8" s="3"/>
      <c r="V8" s="3"/>
    </row>
    <row r="9">
      <c r="A9" s="7">
        <v>8.0</v>
      </c>
      <c r="B9" s="7" t="s">
        <v>106</v>
      </c>
      <c r="C9" s="8" t="s">
        <v>107</v>
      </c>
      <c r="D9" s="3"/>
      <c r="E9" s="3"/>
      <c r="F9" s="3"/>
      <c r="G9" s="3"/>
      <c r="H9" s="3"/>
      <c r="I9" s="3"/>
      <c r="J9" s="3"/>
      <c r="K9" s="3"/>
      <c r="L9" s="3"/>
      <c r="M9" s="3"/>
      <c r="N9" s="3"/>
      <c r="O9" s="3"/>
      <c r="P9" s="3"/>
      <c r="Q9" s="3"/>
      <c r="R9" s="3"/>
      <c r="S9" s="3"/>
      <c r="T9" s="3"/>
      <c r="U9" s="3"/>
      <c r="V9" s="3"/>
    </row>
    <row r="10">
      <c r="A10" s="7">
        <v>9.0</v>
      </c>
      <c r="B10" s="8" t="s">
        <v>108</v>
      </c>
      <c r="C10" s="8" t="s">
        <v>109</v>
      </c>
      <c r="D10" s="3"/>
      <c r="E10" s="3"/>
      <c r="F10" s="3"/>
      <c r="G10" s="3"/>
      <c r="H10" s="3"/>
      <c r="I10" s="3"/>
      <c r="J10" s="3"/>
      <c r="K10" s="3"/>
      <c r="L10" s="3"/>
      <c r="M10" s="3"/>
      <c r="N10" s="3"/>
      <c r="O10" s="3"/>
      <c r="P10" s="3"/>
      <c r="Q10" s="3"/>
      <c r="R10" s="3"/>
      <c r="S10" s="3"/>
      <c r="T10" s="3"/>
      <c r="U10" s="3"/>
      <c r="V10" s="3"/>
    </row>
    <row r="11">
      <c r="A11" s="7">
        <v>10.0</v>
      </c>
      <c r="B11" s="7" t="s">
        <v>110</v>
      </c>
      <c r="C11" s="8" t="s">
        <v>111</v>
      </c>
      <c r="D11" s="3"/>
      <c r="E11" s="3"/>
      <c r="F11" s="3"/>
      <c r="G11" s="3"/>
      <c r="H11" s="3"/>
      <c r="I11" s="3"/>
      <c r="J11" s="3"/>
      <c r="K11" s="3"/>
      <c r="L11" s="3"/>
      <c r="M11" s="3"/>
      <c r="N11" s="3"/>
      <c r="O11" s="3"/>
      <c r="P11" s="3"/>
      <c r="Q11" s="3"/>
      <c r="R11" s="3"/>
      <c r="S11" s="3"/>
      <c r="T11" s="3"/>
      <c r="U11" s="3"/>
      <c r="V11" s="3"/>
    </row>
    <row r="12">
      <c r="A12" s="7">
        <v>11.0</v>
      </c>
      <c r="B12" s="7" t="s">
        <v>112</v>
      </c>
      <c r="C12" s="8" t="s">
        <v>113</v>
      </c>
      <c r="D12" s="3"/>
      <c r="E12" s="3"/>
      <c r="F12" s="3"/>
      <c r="G12" s="3"/>
      <c r="H12" s="3"/>
      <c r="I12" s="3"/>
      <c r="J12" s="3"/>
      <c r="K12" s="3"/>
      <c r="L12" s="3"/>
      <c r="M12" s="3"/>
      <c r="N12" s="3"/>
      <c r="O12" s="3"/>
      <c r="P12" s="3"/>
      <c r="Q12" s="3"/>
      <c r="R12" s="3"/>
      <c r="S12" s="3"/>
      <c r="T12" s="3"/>
      <c r="U12" s="3"/>
      <c r="V12" s="3"/>
    </row>
    <row r="13">
      <c r="A13" s="7">
        <v>12.0</v>
      </c>
      <c r="B13" s="8" t="s">
        <v>114</v>
      </c>
      <c r="C13" s="8" t="s">
        <v>115</v>
      </c>
      <c r="D13" s="3"/>
      <c r="E13" s="3"/>
      <c r="F13" s="3"/>
      <c r="G13" s="3"/>
      <c r="H13" s="3"/>
      <c r="I13" s="3"/>
      <c r="J13" s="3"/>
      <c r="K13" s="3"/>
      <c r="L13" s="3"/>
      <c r="M13" s="3"/>
      <c r="N13" s="3"/>
      <c r="O13" s="3"/>
      <c r="P13" s="3"/>
      <c r="Q13" s="3"/>
      <c r="R13" s="3"/>
      <c r="S13" s="3"/>
      <c r="T13" s="3"/>
      <c r="U13" s="3"/>
      <c r="V13" s="3"/>
    </row>
    <row r="14">
      <c r="A14" s="7">
        <v>13.0</v>
      </c>
      <c r="B14" s="7" t="s">
        <v>116</v>
      </c>
      <c r="C14" s="8" t="s">
        <v>117</v>
      </c>
      <c r="D14" s="3"/>
      <c r="E14" s="3"/>
      <c r="F14" s="3"/>
      <c r="G14" s="3"/>
      <c r="H14" s="3"/>
      <c r="I14" s="3"/>
      <c r="J14" s="3"/>
      <c r="K14" s="3"/>
      <c r="L14" s="3"/>
      <c r="M14" s="3"/>
      <c r="N14" s="3"/>
      <c r="O14" s="3"/>
      <c r="P14" s="3"/>
      <c r="Q14" s="3"/>
      <c r="R14" s="3"/>
      <c r="S14" s="3"/>
      <c r="T14" s="3"/>
      <c r="U14" s="3"/>
      <c r="V14" s="3"/>
    </row>
    <row r="15">
      <c r="A15" s="7">
        <v>14.0</v>
      </c>
      <c r="B15" s="8" t="s">
        <v>118</v>
      </c>
      <c r="C15" s="8" t="s">
        <v>119</v>
      </c>
      <c r="D15" s="3"/>
      <c r="E15" s="3"/>
      <c r="F15" s="3"/>
      <c r="G15" s="3"/>
      <c r="H15" s="3"/>
      <c r="I15" s="3"/>
      <c r="J15" s="3"/>
      <c r="K15" s="3"/>
      <c r="L15" s="3"/>
      <c r="M15" s="3"/>
      <c r="N15" s="3"/>
      <c r="O15" s="3"/>
      <c r="P15" s="3"/>
      <c r="Q15" s="3"/>
      <c r="R15" s="3"/>
      <c r="S15" s="3"/>
      <c r="T15" s="3"/>
      <c r="U15" s="3"/>
      <c r="V15" s="3"/>
    </row>
    <row r="16">
      <c r="A16" s="7">
        <v>15.0</v>
      </c>
      <c r="B16" s="8" t="s">
        <v>120</v>
      </c>
      <c r="C16" s="8" t="s">
        <v>121</v>
      </c>
      <c r="D16" s="3"/>
      <c r="E16" s="3"/>
      <c r="F16" s="3"/>
      <c r="G16" s="3"/>
      <c r="H16" s="3"/>
      <c r="I16" s="3"/>
      <c r="J16" s="3"/>
      <c r="K16" s="3"/>
      <c r="L16" s="3"/>
      <c r="M16" s="3"/>
      <c r="N16" s="3"/>
      <c r="O16" s="3"/>
      <c r="P16" s="3"/>
      <c r="Q16" s="3"/>
      <c r="R16" s="3"/>
      <c r="S16" s="3"/>
      <c r="T16" s="3"/>
      <c r="U16" s="3"/>
      <c r="V16" s="3"/>
    </row>
    <row r="17">
      <c r="A17" s="7">
        <v>16.0</v>
      </c>
      <c r="B17" s="8" t="s">
        <v>122</v>
      </c>
      <c r="C17" s="8" t="s">
        <v>123</v>
      </c>
      <c r="D17" s="3"/>
      <c r="E17" s="3"/>
      <c r="F17" s="3"/>
      <c r="G17" s="3"/>
      <c r="H17" s="3"/>
      <c r="I17" s="3"/>
      <c r="J17" s="3"/>
      <c r="K17" s="3"/>
      <c r="L17" s="3"/>
      <c r="M17" s="3"/>
      <c r="N17" s="3"/>
      <c r="O17" s="3"/>
      <c r="P17" s="3"/>
      <c r="Q17" s="3"/>
      <c r="R17" s="3"/>
      <c r="S17" s="3"/>
      <c r="T17" s="3"/>
      <c r="U17" s="3"/>
      <c r="V17" s="3"/>
    </row>
    <row r="18">
      <c r="A18" s="7">
        <v>17.0</v>
      </c>
      <c r="B18" s="8" t="s">
        <v>124</v>
      </c>
      <c r="C18" s="8" t="s">
        <v>125</v>
      </c>
      <c r="D18" s="3"/>
      <c r="E18" s="3"/>
      <c r="F18" s="3"/>
      <c r="G18" s="3"/>
      <c r="H18" s="3"/>
      <c r="I18" s="3"/>
      <c r="J18" s="3"/>
      <c r="K18" s="3"/>
      <c r="L18" s="3"/>
      <c r="M18" s="3"/>
      <c r="N18" s="3"/>
      <c r="O18" s="3"/>
      <c r="P18" s="3"/>
      <c r="Q18" s="3"/>
      <c r="R18" s="3"/>
      <c r="S18" s="3"/>
      <c r="T18" s="3"/>
      <c r="U18" s="3"/>
      <c r="V18" s="3"/>
    </row>
    <row r="19">
      <c r="A19" s="7">
        <v>18.0</v>
      </c>
      <c r="B19" s="8" t="s">
        <v>126</v>
      </c>
      <c r="C19" s="8" t="s">
        <v>127</v>
      </c>
      <c r="D19" s="3"/>
      <c r="E19" s="3"/>
      <c r="F19" s="3"/>
      <c r="G19" s="3"/>
      <c r="H19" s="3"/>
      <c r="I19" s="3"/>
      <c r="J19" s="3"/>
      <c r="K19" s="3"/>
      <c r="L19" s="3"/>
      <c r="M19" s="3"/>
      <c r="N19" s="3"/>
      <c r="O19" s="3"/>
      <c r="P19" s="3"/>
      <c r="Q19" s="3"/>
      <c r="R19" s="3"/>
      <c r="S19" s="3"/>
      <c r="T19" s="3"/>
      <c r="U19" s="3"/>
      <c r="V19" s="3"/>
    </row>
    <row r="20">
      <c r="A20" s="7">
        <v>19.0</v>
      </c>
      <c r="B20" s="8" t="s">
        <v>128</v>
      </c>
      <c r="C20" s="8" t="s">
        <v>129</v>
      </c>
      <c r="D20" s="3"/>
      <c r="E20" s="3"/>
      <c r="F20" s="3"/>
      <c r="G20" s="3"/>
      <c r="H20" s="3"/>
      <c r="I20" s="3"/>
      <c r="J20" s="3"/>
      <c r="K20" s="3"/>
      <c r="L20" s="3"/>
      <c r="M20" s="3"/>
      <c r="N20" s="3"/>
      <c r="O20" s="3"/>
      <c r="P20" s="3"/>
      <c r="Q20" s="3"/>
      <c r="R20" s="3"/>
      <c r="S20" s="3"/>
      <c r="T20" s="3"/>
      <c r="U20" s="3"/>
      <c r="V20" s="3"/>
    </row>
    <row r="21">
      <c r="A21" s="7">
        <v>20.0</v>
      </c>
      <c r="B21" s="7" t="s">
        <v>130</v>
      </c>
      <c r="C21" s="8" t="s">
        <v>131</v>
      </c>
      <c r="D21" s="3"/>
      <c r="E21" s="3"/>
      <c r="F21" s="3"/>
      <c r="G21" s="3"/>
      <c r="H21" s="3"/>
      <c r="I21" s="3"/>
      <c r="J21" s="3"/>
      <c r="K21" s="3"/>
      <c r="L21" s="3"/>
      <c r="M21" s="3"/>
      <c r="N21" s="3"/>
      <c r="O21" s="3"/>
      <c r="P21" s="3"/>
      <c r="Q21" s="3"/>
      <c r="R21" s="3"/>
      <c r="S21" s="3"/>
      <c r="T21" s="3"/>
      <c r="U21" s="3"/>
      <c r="V21" s="3"/>
    </row>
    <row r="22">
      <c r="A22" s="7">
        <v>21.0</v>
      </c>
      <c r="B22" s="7" t="s">
        <v>132</v>
      </c>
      <c r="C22" s="8" t="s">
        <v>133</v>
      </c>
      <c r="D22" s="3"/>
      <c r="E22" s="3"/>
      <c r="F22" s="3"/>
      <c r="G22" s="3"/>
      <c r="H22" s="3"/>
      <c r="I22" s="3"/>
      <c r="J22" s="3"/>
      <c r="K22" s="3"/>
      <c r="L22" s="3"/>
      <c r="M22" s="3"/>
      <c r="N22" s="3"/>
      <c r="O22" s="3"/>
      <c r="P22" s="3"/>
      <c r="Q22" s="3"/>
      <c r="R22" s="3"/>
      <c r="S22" s="3"/>
      <c r="T22" s="3"/>
      <c r="U22" s="3"/>
      <c r="V22" s="3"/>
    </row>
    <row r="23">
      <c r="A23" s="7">
        <v>22.0</v>
      </c>
      <c r="B23" s="7" t="s">
        <v>134</v>
      </c>
      <c r="C23" s="8" t="s">
        <v>135</v>
      </c>
      <c r="D23" s="3"/>
      <c r="E23" s="3"/>
      <c r="F23" s="3"/>
      <c r="G23" s="3"/>
      <c r="H23" s="3"/>
      <c r="I23" s="3"/>
      <c r="J23" s="3"/>
      <c r="K23" s="3"/>
      <c r="L23" s="3"/>
      <c r="M23" s="3"/>
      <c r="N23" s="3"/>
      <c r="O23" s="3"/>
      <c r="P23" s="3"/>
      <c r="Q23" s="3"/>
      <c r="R23" s="3"/>
      <c r="S23" s="3"/>
      <c r="T23" s="3"/>
      <c r="U23" s="3"/>
      <c r="V23" s="3"/>
    </row>
    <row r="24">
      <c r="A24" s="7">
        <v>23.0</v>
      </c>
      <c r="B24" s="8" t="s">
        <v>136</v>
      </c>
      <c r="C24" s="8" t="s">
        <v>137</v>
      </c>
      <c r="D24" s="3"/>
      <c r="E24" s="3"/>
      <c r="F24" s="3"/>
      <c r="G24" s="3"/>
      <c r="H24" s="3"/>
      <c r="I24" s="3"/>
      <c r="J24" s="3"/>
      <c r="K24" s="3"/>
      <c r="L24" s="3"/>
      <c r="M24" s="3"/>
      <c r="N24" s="3"/>
      <c r="O24" s="3"/>
      <c r="P24" s="3"/>
      <c r="Q24" s="3"/>
      <c r="R24" s="3"/>
      <c r="S24" s="3"/>
      <c r="T24" s="3"/>
      <c r="U24" s="3"/>
      <c r="V24" s="3"/>
    </row>
    <row r="25">
      <c r="A25" s="7">
        <v>24.0</v>
      </c>
      <c r="B25" s="8" t="s">
        <v>138</v>
      </c>
      <c r="C25" s="8" t="s">
        <v>139</v>
      </c>
      <c r="D25" s="3"/>
      <c r="E25" s="3"/>
      <c r="F25" s="3"/>
      <c r="G25" s="3"/>
      <c r="H25" s="3"/>
      <c r="I25" s="3"/>
      <c r="J25" s="3"/>
      <c r="K25" s="3"/>
      <c r="L25" s="3"/>
      <c r="M25" s="3"/>
      <c r="N25" s="3"/>
      <c r="O25" s="3"/>
      <c r="P25" s="3"/>
      <c r="Q25" s="3"/>
      <c r="R25" s="3"/>
      <c r="S25" s="3"/>
      <c r="T25" s="3"/>
      <c r="U25" s="3"/>
      <c r="V25" s="3"/>
    </row>
    <row r="26">
      <c r="A26" s="7">
        <v>25.0</v>
      </c>
      <c r="B26" s="24" t="s">
        <v>140</v>
      </c>
      <c r="C26" s="8" t="s">
        <v>141</v>
      </c>
      <c r="D26" s="3"/>
      <c r="E26" s="11"/>
      <c r="F26" s="19"/>
      <c r="G26" s="3"/>
      <c r="H26" s="3"/>
      <c r="I26" s="3"/>
      <c r="J26" s="3"/>
      <c r="K26" s="3"/>
      <c r="L26" s="3"/>
      <c r="M26" s="3"/>
      <c r="N26" s="3"/>
      <c r="O26" s="3"/>
      <c r="P26" s="3"/>
      <c r="Q26" s="3"/>
      <c r="R26" s="3"/>
      <c r="S26" s="3"/>
      <c r="T26" s="3"/>
      <c r="U26" s="3"/>
      <c r="V26" s="3"/>
    </row>
    <row r="27">
      <c r="A27" s="7">
        <v>26.0</v>
      </c>
      <c r="B27" s="8" t="s">
        <v>142</v>
      </c>
      <c r="C27" s="8" t="s">
        <v>143</v>
      </c>
      <c r="D27" s="3"/>
      <c r="E27" s="11"/>
      <c r="F27" s="20"/>
      <c r="G27" s="3"/>
      <c r="H27" s="3"/>
      <c r="I27" s="3"/>
      <c r="J27" s="3"/>
      <c r="K27" s="3"/>
      <c r="L27" s="3"/>
      <c r="M27" s="3"/>
      <c r="N27" s="3"/>
      <c r="O27" s="3"/>
      <c r="P27" s="3"/>
      <c r="Q27" s="3"/>
      <c r="R27" s="3"/>
      <c r="S27" s="3"/>
      <c r="T27" s="3"/>
      <c r="U27" s="3"/>
      <c r="V27" s="3"/>
    </row>
    <row r="28">
      <c r="A28" s="7">
        <v>27.0</v>
      </c>
      <c r="B28" s="8" t="s">
        <v>144</v>
      </c>
      <c r="C28" s="8" t="s">
        <v>129</v>
      </c>
      <c r="D28" s="3"/>
      <c r="E28" s="3"/>
      <c r="F28" s="3"/>
      <c r="G28" s="3"/>
      <c r="H28" s="3"/>
      <c r="I28" s="3"/>
      <c r="J28" s="3"/>
      <c r="K28" s="3"/>
      <c r="L28" s="3"/>
      <c r="M28" s="3"/>
      <c r="N28" s="3"/>
      <c r="O28" s="3"/>
      <c r="P28" s="3"/>
      <c r="Q28" s="3"/>
      <c r="R28" s="3"/>
      <c r="S28" s="3"/>
      <c r="T28" s="3"/>
      <c r="U28" s="3"/>
      <c r="V28" s="3"/>
    </row>
    <row r="29">
      <c r="A29" s="7">
        <v>28.0</v>
      </c>
      <c r="B29" s="8" t="s">
        <v>145</v>
      </c>
      <c r="C29" s="8" t="s">
        <v>146</v>
      </c>
      <c r="D29" s="3"/>
      <c r="E29" s="11"/>
      <c r="F29" s="20"/>
      <c r="G29" s="3"/>
      <c r="H29" s="3"/>
      <c r="I29" s="3"/>
      <c r="J29" s="3"/>
      <c r="K29" s="3"/>
      <c r="L29" s="3"/>
      <c r="M29" s="3"/>
      <c r="N29" s="3"/>
      <c r="O29" s="3"/>
      <c r="P29" s="3"/>
      <c r="Q29" s="3"/>
      <c r="R29" s="3"/>
      <c r="S29" s="3"/>
      <c r="T29" s="3"/>
      <c r="U29" s="3"/>
      <c r="V29" s="3"/>
    </row>
    <row r="30">
      <c r="A30" s="7">
        <v>29.0</v>
      </c>
      <c r="B30" s="7" t="s">
        <v>147</v>
      </c>
      <c r="C30" s="8" t="s">
        <v>148</v>
      </c>
      <c r="D30" s="3"/>
      <c r="E30" s="3"/>
      <c r="F30" s="3"/>
      <c r="G30" s="3"/>
      <c r="H30" s="3"/>
      <c r="I30" s="3"/>
      <c r="J30" s="3"/>
      <c r="K30" s="3"/>
      <c r="L30" s="3"/>
      <c r="M30" s="3"/>
      <c r="N30" s="3"/>
      <c r="O30" s="3"/>
      <c r="P30" s="3"/>
      <c r="Q30" s="3"/>
      <c r="R30" s="3"/>
      <c r="S30" s="3"/>
      <c r="T30" s="3"/>
      <c r="U30" s="3"/>
      <c r="V30" s="3"/>
    </row>
    <row r="31">
      <c r="A31" s="7">
        <v>30.0</v>
      </c>
      <c r="B31" s="8" t="s">
        <v>149</v>
      </c>
      <c r="C31" s="8" t="s">
        <v>150</v>
      </c>
      <c r="D31" s="3"/>
      <c r="E31" s="3"/>
      <c r="F31" s="3"/>
      <c r="G31" s="3"/>
      <c r="H31" s="3"/>
      <c r="I31" s="3"/>
      <c r="J31" s="3"/>
      <c r="K31" s="3"/>
      <c r="L31" s="3"/>
      <c r="M31" s="3"/>
      <c r="N31" s="3"/>
      <c r="O31" s="3"/>
      <c r="P31" s="3"/>
      <c r="Q31" s="3"/>
      <c r="R31" s="3"/>
      <c r="S31" s="3"/>
      <c r="T31" s="3"/>
      <c r="U31" s="3"/>
      <c r="V31" s="3"/>
    </row>
    <row r="32">
      <c r="A32" s="7">
        <v>31.0</v>
      </c>
      <c r="B32" s="8" t="s">
        <v>151</v>
      </c>
      <c r="C32" s="8" t="s">
        <v>152</v>
      </c>
      <c r="D32" s="3"/>
      <c r="E32" s="3"/>
      <c r="F32" s="3"/>
      <c r="G32" s="3"/>
      <c r="H32" s="3"/>
      <c r="I32" s="3"/>
      <c r="J32" s="3"/>
      <c r="K32" s="3"/>
      <c r="L32" s="3"/>
      <c r="M32" s="3"/>
      <c r="N32" s="3"/>
      <c r="O32" s="3"/>
      <c r="P32" s="3"/>
      <c r="Q32" s="3"/>
      <c r="R32" s="3"/>
      <c r="S32" s="3"/>
      <c r="T32" s="3"/>
      <c r="U32" s="3"/>
      <c r="V32" s="3"/>
    </row>
    <row r="33">
      <c r="A33" s="7">
        <v>32.0</v>
      </c>
      <c r="B33" s="8" t="s">
        <v>153</v>
      </c>
      <c r="C33" s="8" t="s">
        <v>154</v>
      </c>
      <c r="D33" s="3"/>
      <c r="E33" s="11"/>
      <c r="F33" s="20"/>
      <c r="G33" s="3"/>
      <c r="H33" s="3"/>
      <c r="I33" s="3"/>
      <c r="J33" s="3"/>
      <c r="K33" s="3"/>
      <c r="L33" s="3"/>
      <c r="M33" s="3"/>
      <c r="N33" s="3"/>
      <c r="O33" s="3"/>
      <c r="P33" s="3"/>
      <c r="Q33" s="3"/>
      <c r="R33" s="3"/>
      <c r="S33" s="3"/>
      <c r="T33" s="3"/>
      <c r="U33" s="3"/>
      <c r="V33" s="3"/>
    </row>
    <row r="34">
      <c r="A34" s="7">
        <v>33.0</v>
      </c>
      <c r="B34" s="8" t="s">
        <v>155</v>
      </c>
      <c r="C34" s="8" t="s">
        <v>156</v>
      </c>
      <c r="D34" s="3"/>
      <c r="E34" s="11"/>
      <c r="F34" s="20"/>
      <c r="G34" s="3"/>
      <c r="H34" s="3"/>
      <c r="I34" s="3"/>
      <c r="J34" s="3"/>
      <c r="K34" s="3"/>
      <c r="L34" s="3"/>
      <c r="M34" s="3"/>
      <c r="N34" s="3"/>
      <c r="O34" s="3"/>
      <c r="P34" s="3"/>
      <c r="Q34" s="3"/>
      <c r="R34" s="3"/>
      <c r="S34" s="3"/>
      <c r="T34" s="3"/>
      <c r="U34" s="3"/>
      <c r="V34" s="3"/>
    </row>
    <row r="35">
      <c r="A35" s="7">
        <v>34.0</v>
      </c>
      <c r="B35" s="8" t="s">
        <v>157</v>
      </c>
      <c r="C35" s="8" t="s">
        <v>158</v>
      </c>
      <c r="D35" s="3"/>
      <c r="E35" s="11"/>
      <c r="F35" s="11"/>
      <c r="G35" s="3"/>
      <c r="H35" s="3"/>
      <c r="I35" s="3"/>
      <c r="J35" s="3"/>
      <c r="K35" s="3"/>
      <c r="L35" s="3"/>
      <c r="M35" s="3"/>
      <c r="N35" s="3"/>
      <c r="O35" s="3"/>
      <c r="P35" s="3"/>
      <c r="Q35" s="3"/>
      <c r="R35" s="3"/>
      <c r="S35" s="3"/>
      <c r="T35" s="3"/>
      <c r="U35" s="3"/>
      <c r="V35" s="3"/>
    </row>
    <row r="36">
      <c r="A36" s="7">
        <v>35.0</v>
      </c>
      <c r="B36" s="8" t="s">
        <v>159</v>
      </c>
      <c r="C36" s="8" t="s">
        <v>160</v>
      </c>
      <c r="D36" s="3"/>
      <c r="E36" s="11"/>
      <c r="F36" s="11"/>
      <c r="G36" s="3"/>
      <c r="H36" s="3"/>
      <c r="I36" s="3"/>
      <c r="J36" s="3"/>
      <c r="K36" s="3"/>
      <c r="L36" s="3"/>
      <c r="M36" s="3"/>
      <c r="N36" s="3"/>
      <c r="O36" s="3"/>
      <c r="P36" s="3"/>
      <c r="Q36" s="3"/>
      <c r="R36" s="3"/>
      <c r="S36" s="3"/>
      <c r="T36" s="3"/>
      <c r="U36" s="3"/>
      <c r="V36" s="3"/>
    </row>
    <row r="37">
      <c r="A37" s="8">
        <v>36.0</v>
      </c>
      <c r="B37" s="8" t="s">
        <v>161</v>
      </c>
      <c r="C37" s="8" t="s">
        <v>162</v>
      </c>
      <c r="D37" s="3"/>
      <c r="E37" s="3"/>
      <c r="F37" s="3"/>
      <c r="G37" s="3"/>
      <c r="H37" s="3"/>
      <c r="I37" s="3"/>
      <c r="J37" s="3"/>
      <c r="K37" s="3"/>
      <c r="L37" s="3"/>
      <c r="M37" s="3"/>
      <c r="N37" s="3"/>
      <c r="O37" s="3"/>
      <c r="P37" s="3"/>
      <c r="Q37" s="3"/>
      <c r="R37" s="3"/>
      <c r="S37" s="3"/>
      <c r="T37" s="3"/>
      <c r="U37" s="3"/>
      <c r="V37" s="3"/>
    </row>
    <row r="38">
      <c r="A38" s="7">
        <v>37.0</v>
      </c>
      <c r="B38" s="8" t="s">
        <v>163</v>
      </c>
      <c r="C38" s="8" t="s">
        <v>164</v>
      </c>
      <c r="D38" s="3"/>
      <c r="E38" s="3"/>
      <c r="F38" s="3"/>
      <c r="G38" s="3"/>
      <c r="H38" s="3"/>
      <c r="I38" s="3"/>
      <c r="J38" s="3"/>
      <c r="K38" s="3"/>
      <c r="L38" s="3"/>
      <c r="M38" s="3"/>
      <c r="N38" s="3"/>
      <c r="O38" s="3"/>
      <c r="P38" s="3"/>
      <c r="Q38" s="3"/>
      <c r="R38" s="3"/>
      <c r="S38" s="3"/>
      <c r="T38" s="3"/>
      <c r="U38" s="3"/>
      <c r="V38" s="3"/>
    </row>
    <row r="39">
      <c r="A39" s="8">
        <v>38.0</v>
      </c>
      <c r="B39" s="8" t="s">
        <v>165</v>
      </c>
      <c r="C39" s="8" t="s">
        <v>166</v>
      </c>
      <c r="D39" s="3"/>
      <c r="E39" s="3"/>
      <c r="F39" s="3"/>
      <c r="G39" s="3"/>
      <c r="H39" s="3"/>
      <c r="I39" s="3"/>
      <c r="J39" s="3"/>
      <c r="K39" s="3"/>
      <c r="L39" s="3"/>
      <c r="M39" s="3"/>
      <c r="N39" s="3"/>
      <c r="O39" s="3"/>
      <c r="P39" s="3"/>
      <c r="Q39" s="3"/>
      <c r="R39" s="3"/>
      <c r="S39" s="3"/>
      <c r="T39" s="3"/>
      <c r="U39" s="3"/>
      <c r="V39" s="3"/>
    </row>
    <row r="40">
      <c r="A40" s="7">
        <v>39.0</v>
      </c>
      <c r="B40" s="8" t="s">
        <v>167</v>
      </c>
      <c r="C40" s="8" t="s">
        <v>168</v>
      </c>
      <c r="D40" s="3"/>
      <c r="E40" s="3"/>
      <c r="F40" s="3"/>
      <c r="G40" s="3"/>
      <c r="H40" s="3"/>
      <c r="I40" s="3"/>
      <c r="J40" s="3"/>
      <c r="K40" s="3"/>
      <c r="L40" s="3"/>
      <c r="M40" s="3"/>
      <c r="N40" s="3"/>
      <c r="O40" s="3"/>
      <c r="P40" s="3"/>
      <c r="Q40" s="3"/>
      <c r="R40" s="3"/>
      <c r="S40" s="3"/>
      <c r="T40" s="3"/>
      <c r="U40" s="3"/>
      <c r="V40" s="3"/>
    </row>
    <row r="41">
      <c r="A41" s="8">
        <v>40.0</v>
      </c>
      <c r="B41" s="8" t="s">
        <v>169</v>
      </c>
      <c r="C41" s="8" t="s">
        <v>170</v>
      </c>
      <c r="D41" s="3"/>
      <c r="E41" s="3"/>
      <c r="F41" s="3"/>
      <c r="G41" s="3"/>
      <c r="H41" s="3"/>
      <c r="I41" s="3"/>
      <c r="J41" s="3"/>
      <c r="K41" s="3"/>
      <c r="L41" s="3"/>
      <c r="M41" s="3"/>
      <c r="N41" s="3"/>
      <c r="O41" s="3"/>
      <c r="P41" s="3"/>
      <c r="Q41" s="3"/>
      <c r="R41" s="3"/>
      <c r="S41" s="3"/>
      <c r="T41" s="3"/>
      <c r="U41" s="3"/>
      <c r="V41" s="3"/>
    </row>
    <row r="42">
      <c r="A42" s="8">
        <v>41.0</v>
      </c>
      <c r="B42" s="8" t="s">
        <v>171</v>
      </c>
      <c r="C42" s="8" t="s">
        <v>172</v>
      </c>
      <c r="D42" s="3"/>
      <c r="E42" s="3"/>
      <c r="F42" s="3"/>
      <c r="G42" s="3"/>
      <c r="H42" s="3"/>
      <c r="I42" s="3"/>
      <c r="J42" s="3"/>
      <c r="K42" s="3"/>
      <c r="L42" s="3"/>
      <c r="M42" s="3"/>
      <c r="N42" s="3"/>
      <c r="O42" s="3"/>
      <c r="P42" s="3"/>
      <c r="Q42" s="3"/>
      <c r="R42" s="3"/>
      <c r="S42" s="3"/>
      <c r="T42" s="3"/>
      <c r="U42" s="3"/>
      <c r="V42" s="3"/>
    </row>
    <row r="43">
      <c r="A43" s="8">
        <v>42.0</v>
      </c>
      <c r="B43" s="8" t="s">
        <v>173</v>
      </c>
      <c r="C43" s="8" t="s">
        <v>137</v>
      </c>
      <c r="D43" s="3"/>
      <c r="E43" s="3"/>
      <c r="F43" s="3"/>
      <c r="G43" s="3"/>
      <c r="H43" s="3"/>
      <c r="I43" s="3"/>
      <c r="J43" s="3"/>
      <c r="K43" s="3"/>
      <c r="L43" s="3"/>
      <c r="M43" s="3"/>
      <c r="N43" s="3"/>
      <c r="O43" s="3"/>
      <c r="P43" s="3"/>
      <c r="Q43" s="3"/>
      <c r="R43" s="3"/>
      <c r="S43" s="3"/>
      <c r="T43" s="3"/>
      <c r="U43" s="3"/>
      <c r="V43" s="3"/>
    </row>
    <row r="44">
      <c r="A44" s="8">
        <v>43.0</v>
      </c>
      <c r="B44" s="8" t="s">
        <v>174</v>
      </c>
      <c r="C44" s="8" t="s">
        <v>175</v>
      </c>
      <c r="D44" s="3"/>
      <c r="E44" s="3"/>
      <c r="F44" s="3"/>
      <c r="G44" s="3"/>
      <c r="H44" s="3"/>
      <c r="I44" s="3"/>
      <c r="J44" s="3"/>
      <c r="K44" s="3"/>
      <c r="L44" s="3"/>
      <c r="M44" s="3"/>
      <c r="N44" s="3"/>
      <c r="O44" s="3"/>
      <c r="P44" s="3"/>
      <c r="Q44" s="3"/>
      <c r="R44" s="3"/>
      <c r="S44" s="3"/>
      <c r="T44" s="3"/>
      <c r="U44" s="3"/>
      <c r="V44" s="3"/>
    </row>
    <row r="45">
      <c r="A45" s="8">
        <v>44.0</v>
      </c>
      <c r="B45" s="8" t="s">
        <v>176</v>
      </c>
      <c r="C45" s="8" t="s">
        <v>177</v>
      </c>
      <c r="D45" s="3"/>
      <c r="E45" s="3"/>
      <c r="F45" s="3"/>
      <c r="G45" s="3"/>
      <c r="H45" s="3"/>
      <c r="I45" s="3"/>
      <c r="J45" s="3"/>
      <c r="K45" s="3"/>
      <c r="L45" s="3"/>
      <c r="M45" s="3"/>
      <c r="N45" s="3"/>
      <c r="O45" s="3"/>
      <c r="P45" s="3"/>
      <c r="Q45" s="3"/>
      <c r="R45" s="3"/>
      <c r="S45" s="3"/>
      <c r="T45" s="3"/>
      <c r="U45" s="3"/>
      <c r="V45" s="3"/>
    </row>
    <row r="46">
      <c r="A46" s="8"/>
      <c r="B46" s="15"/>
      <c r="C46" s="15"/>
      <c r="D46" s="3"/>
      <c r="E46" s="3"/>
      <c r="F46" s="3"/>
      <c r="G46" s="3"/>
      <c r="H46" s="3"/>
      <c r="I46" s="3"/>
      <c r="J46" s="3"/>
      <c r="K46" s="3"/>
      <c r="L46" s="3"/>
      <c r="M46" s="3"/>
      <c r="N46" s="3"/>
      <c r="O46" s="3"/>
      <c r="P46" s="3"/>
      <c r="Q46" s="3"/>
      <c r="R46" s="3"/>
      <c r="S46" s="3"/>
      <c r="T46" s="3"/>
      <c r="U46" s="3"/>
      <c r="V46" s="3"/>
    </row>
    <row r="47">
      <c r="A47" s="8"/>
      <c r="B47" s="15"/>
      <c r="C47" s="15"/>
      <c r="D47" s="3"/>
      <c r="E47" s="3"/>
      <c r="F47" s="3"/>
      <c r="G47" s="3"/>
      <c r="H47" s="3"/>
      <c r="I47" s="3"/>
      <c r="J47" s="3"/>
      <c r="K47" s="3"/>
      <c r="L47" s="3"/>
      <c r="M47" s="3"/>
      <c r="N47" s="3"/>
      <c r="O47" s="3"/>
      <c r="P47" s="3"/>
      <c r="Q47" s="3"/>
      <c r="R47" s="3"/>
      <c r="S47" s="3"/>
      <c r="T47" s="3"/>
      <c r="U47" s="3"/>
      <c r="V47" s="3"/>
    </row>
    <row r="48">
      <c r="A48" s="8"/>
      <c r="B48" s="8"/>
      <c r="C48" s="15"/>
      <c r="D48" s="3"/>
      <c r="E48" s="3"/>
      <c r="F48" s="3"/>
      <c r="G48" s="3"/>
      <c r="H48" s="3"/>
      <c r="I48" s="3"/>
      <c r="J48" s="3"/>
      <c r="K48" s="3"/>
      <c r="L48" s="3"/>
      <c r="M48" s="3"/>
      <c r="N48" s="3"/>
      <c r="O48" s="3"/>
      <c r="P48" s="3"/>
      <c r="Q48" s="3"/>
      <c r="R48" s="3"/>
      <c r="S48" s="3"/>
      <c r="T48" s="3"/>
      <c r="U48" s="3"/>
      <c r="V48" s="3"/>
    </row>
    <row r="49">
      <c r="A49" s="8"/>
      <c r="B49" s="8"/>
      <c r="C49" s="15"/>
      <c r="D49" s="3"/>
      <c r="E49" s="3"/>
      <c r="F49" s="3"/>
      <c r="G49" s="3"/>
      <c r="H49" s="3"/>
      <c r="I49" s="3"/>
      <c r="J49" s="3"/>
      <c r="K49" s="3"/>
      <c r="L49" s="3"/>
      <c r="M49" s="3"/>
      <c r="N49" s="3"/>
      <c r="O49" s="3"/>
      <c r="P49" s="3"/>
      <c r="Q49" s="3"/>
      <c r="R49" s="3"/>
      <c r="S49" s="3"/>
      <c r="T49" s="3"/>
      <c r="U49" s="3"/>
      <c r="V49" s="3"/>
    </row>
    <row r="50">
      <c r="A50" s="8"/>
      <c r="B50" s="8"/>
      <c r="C50" s="15"/>
      <c r="D50" s="3"/>
      <c r="E50" s="3"/>
      <c r="F50" s="3"/>
      <c r="G50" s="3"/>
      <c r="H50" s="3"/>
      <c r="I50" s="3"/>
      <c r="J50" s="3"/>
      <c r="K50" s="3"/>
      <c r="L50" s="3"/>
      <c r="M50" s="3"/>
      <c r="N50" s="3"/>
      <c r="O50" s="3"/>
      <c r="P50" s="3"/>
      <c r="Q50" s="3"/>
      <c r="R50" s="3"/>
      <c r="S50" s="3"/>
      <c r="T50" s="3"/>
      <c r="U50" s="3"/>
      <c r="V50" s="3"/>
    </row>
    <row r="51">
      <c r="A51" s="15"/>
      <c r="B51" s="15"/>
      <c r="C51" s="15"/>
      <c r="D51" s="3"/>
      <c r="E51" s="3"/>
      <c r="F51" s="3"/>
      <c r="G51" s="3"/>
      <c r="H51" s="3"/>
      <c r="I51" s="3"/>
      <c r="J51" s="3"/>
      <c r="K51" s="3"/>
      <c r="L51" s="3"/>
      <c r="M51" s="3"/>
      <c r="N51" s="3"/>
      <c r="O51" s="3"/>
      <c r="P51" s="3"/>
      <c r="Q51" s="3"/>
      <c r="R51" s="3"/>
      <c r="S51" s="3"/>
      <c r="T51" s="3"/>
      <c r="U51" s="3"/>
      <c r="V51" s="3"/>
    </row>
    <row r="52">
      <c r="A52" s="15"/>
      <c r="B52" s="15"/>
      <c r="C52" s="15"/>
      <c r="D52" s="3"/>
      <c r="E52" s="3"/>
      <c r="F52" s="3"/>
      <c r="G52" s="3"/>
      <c r="H52" s="3"/>
      <c r="I52" s="3"/>
      <c r="J52" s="3"/>
      <c r="K52" s="3"/>
      <c r="L52" s="3"/>
      <c r="M52" s="3"/>
      <c r="N52" s="3"/>
      <c r="O52" s="3"/>
      <c r="P52" s="3"/>
      <c r="Q52" s="3"/>
      <c r="R52" s="3"/>
      <c r="S52" s="3"/>
      <c r="T52" s="3"/>
      <c r="U52" s="3"/>
      <c r="V52" s="3"/>
    </row>
    <row r="53">
      <c r="A53" s="15"/>
      <c r="B53" s="15"/>
      <c r="C53" s="15"/>
      <c r="D53" s="3"/>
      <c r="E53" s="3"/>
      <c r="F53" s="3"/>
      <c r="G53" s="3"/>
      <c r="H53" s="3"/>
      <c r="I53" s="3"/>
      <c r="J53" s="3"/>
      <c r="K53" s="3"/>
      <c r="L53" s="3"/>
      <c r="M53" s="3"/>
      <c r="N53" s="3"/>
      <c r="O53" s="3"/>
      <c r="P53" s="3"/>
      <c r="Q53" s="3"/>
      <c r="R53" s="3"/>
      <c r="S53" s="3"/>
      <c r="T53" s="3"/>
      <c r="U53" s="3"/>
      <c r="V53" s="3"/>
    </row>
    <row r="54">
      <c r="A54" s="15"/>
      <c r="B54" s="15"/>
      <c r="C54" s="15"/>
      <c r="D54" s="3"/>
      <c r="E54" s="3"/>
      <c r="F54" s="3"/>
      <c r="G54" s="3"/>
      <c r="H54" s="3"/>
      <c r="I54" s="3"/>
      <c r="J54" s="3"/>
      <c r="K54" s="3"/>
      <c r="L54" s="3"/>
      <c r="M54" s="3"/>
      <c r="N54" s="3"/>
      <c r="O54" s="3"/>
      <c r="P54" s="3"/>
      <c r="Q54" s="3"/>
      <c r="R54" s="3"/>
      <c r="S54" s="3"/>
      <c r="T54" s="3"/>
      <c r="U54" s="3"/>
      <c r="V54" s="3"/>
    </row>
    <row r="55">
      <c r="A55" s="15"/>
      <c r="B55" s="15"/>
      <c r="C55" s="15"/>
      <c r="D55" s="3"/>
      <c r="E55" s="3"/>
      <c r="F55" s="3"/>
      <c r="G55" s="3"/>
      <c r="H55" s="3"/>
      <c r="I55" s="3"/>
      <c r="J55" s="3"/>
      <c r="K55" s="3"/>
      <c r="L55" s="3"/>
      <c r="M55" s="3"/>
      <c r="N55" s="3"/>
      <c r="O55" s="3"/>
      <c r="P55" s="3"/>
      <c r="Q55" s="3"/>
      <c r="R55" s="3"/>
      <c r="S55" s="3"/>
      <c r="T55" s="3"/>
      <c r="U55" s="3"/>
      <c r="V55" s="3"/>
    </row>
    <row r="56">
      <c r="A56" s="15"/>
      <c r="B56" s="15"/>
      <c r="C56" s="15"/>
      <c r="D56" s="3"/>
      <c r="E56" s="3"/>
      <c r="F56" s="3"/>
      <c r="G56" s="3"/>
      <c r="H56" s="3"/>
      <c r="I56" s="3"/>
      <c r="J56" s="3"/>
      <c r="K56" s="3"/>
      <c r="L56" s="3"/>
      <c r="M56" s="3"/>
      <c r="N56" s="3"/>
      <c r="O56" s="3"/>
      <c r="P56" s="3"/>
      <c r="Q56" s="3"/>
      <c r="R56" s="3"/>
      <c r="S56" s="3"/>
      <c r="T56" s="3"/>
      <c r="U56" s="3"/>
      <c r="V56" s="3"/>
    </row>
    <row r="57">
      <c r="A57" s="15"/>
      <c r="B57" s="15"/>
      <c r="C57" s="15"/>
      <c r="D57" s="3"/>
      <c r="E57" s="3"/>
      <c r="F57" s="3"/>
      <c r="G57" s="3"/>
      <c r="H57" s="3"/>
      <c r="I57" s="3"/>
      <c r="J57" s="3"/>
      <c r="K57" s="3"/>
      <c r="L57" s="3"/>
      <c r="M57" s="3"/>
      <c r="N57" s="3"/>
      <c r="O57" s="3"/>
      <c r="P57" s="3"/>
      <c r="Q57" s="3"/>
      <c r="R57" s="3"/>
      <c r="S57" s="3"/>
      <c r="T57" s="3"/>
      <c r="U57" s="3"/>
      <c r="V57" s="3"/>
    </row>
    <row r="58">
      <c r="A58" s="15"/>
      <c r="B58" s="15"/>
      <c r="C58" s="15"/>
      <c r="D58" s="3"/>
      <c r="E58" s="3"/>
      <c r="F58" s="3"/>
      <c r="G58" s="3"/>
      <c r="H58" s="3"/>
      <c r="I58" s="3"/>
      <c r="J58" s="3"/>
      <c r="K58" s="3"/>
      <c r="L58" s="3"/>
      <c r="M58" s="3"/>
      <c r="N58" s="3"/>
      <c r="O58" s="3"/>
      <c r="P58" s="3"/>
      <c r="Q58" s="3"/>
      <c r="R58" s="3"/>
      <c r="S58" s="3"/>
      <c r="T58" s="3"/>
      <c r="U58" s="3"/>
      <c r="V58" s="3"/>
    </row>
    <row r="59">
      <c r="A59" s="15"/>
      <c r="B59" s="15"/>
      <c r="C59" s="15"/>
      <c r="D59" s="3"/>
      <c r="E59" s="3"/>
      <c r="F59" s="3"/>
      <c r="G59" s="3"/>
      <c r="H59" s="3"/>
      <c r="I59" s="3"/>
      <c r="J59" s="3"/>
      <c r="K59" s="3"/>
      <c r="L59" s="3"/>
      <c r="M59" s="3"/>
      <c r="N59" s="3"/>
      <c r="O59" s="3"/>
      <c r="P59" s="3"/>
      <c r="Q59" s="3"/>
      <c r="R59" s="3"/>
      <c r="S59" s="3"/>
      <c r="T59" s="3"/>
      <c r="U59" s="3"/>
      <c r="V59" s="3"/>
    </row>
    <row r="60">
      <c r="A60" s="15"/>
      <c r="B60" s="15"/>
      <c r="C60" s="15"/>
      <c r="D60" s="3"/>
      <c r="E60" s="3"/>
      <c r="F60" s="3"/>
      <c r="G60" s="3"/>
      <c r="H60" s="3"/>
      <c r="I60" s="3"/>
      <c r="J60" s="3"/>
      <c r="K60" s="3"/>
      <c r="L60" s="3"/>
      <c r="M60" s="3"/>
      <c r="N60" s="3"/>
      <c r="O60" s="3"/>
      <c r="P60" s="3"/>
      <c r="Q60" s="3"/>
      <c r="R60" s="3"/>
      <c r="S60" s="3"/>
      <c r="T60" s="3"/>
      <c r="U60" s="3"/>
      <c r="V60" s="3"/>
    </row>
    <row r="61">
      <c r="A61" s="15"/>
      <c r="B61" s="15"/>
      <c r="C61" s="15"/>
      <c r="D61" s="3"/>
      <c r="E61" s="3"/>
      <c r="F61" s="3"/>
      <c r="G61" s="3"/>
      <c r="H61" s="3"/>
      <c r="I61" s="3"/>
      <c r="J61" s="3"/>
      <c r="K61" s="3"/>
      <c r="L61" s="3"/>
      <c r="M61" s="3"/>
      <c r="N61" s="3"/>
      <c r="O61" s="3"/>
      <c r="P61" s="3"/>
      <c r="Q61" s="3"/>
      <c r="R61" s="3"/>
      <c r="S61" s="3"/>
      <c r="T61" s="3"/>
      <c r="U61" s="3"/>
      <c r="V61" s="3"/>
    </row>
    <row r="62">
      <c r="A62" s="15"/>
      <c r="B62" s="15"/>
      <c r="C62" s="15"/>
      <c r="D62" s="3"/>
      <c r="E62" s="3"/>
      <c r="F62" s="3"/>
      <c r="G62" s="3"/>
      <c r="H62" s="3"/>
      <c r="I62" s="3"/>
      <c r="J62" s="3"/>
      <c r="K62" s="3"/>
      <c r="L62" s="3"/>
      <c r="M62" s="3"/>
      <c r="N62" s="3"/>
      <c r="O62" s="3"/>
      <c r="P62" s="3"/>
      <c r="Q62" s="3"/>
      <c r="R62" s="3"/>
      <c r="S62" s="3"/>
      <c r="T62" s="3"/>
      <c r="U62" s="3"/>
      <c r="V62" s="3"/>
    </row>
    <row r="63">
      <c r="A63" s="15"/>
      <c r="B63" s="15"/>
      <c r="C63" s="15"/>
      <c r="D63" s="3"/>
      <c r="E63" s="3"/>
      <c r="F63" s="3"/>
      <c r="G63" s="3"/>
      <c r="H63" s="3"/>
      <c r="I63" s="3"/>
      <c r="J63" s="3"/>
      <c r="K63" s="3"/>
      <c r="L63" s="3"/>
      <c r="M63" s="3"/>
      <c r="N63" s="3"/>
      <c r="O63" s="3"/>
      <c r="P63" s="3"/>
      <c r="Q63" s="3"/>
      <c r="R63" s="3"/>
      <c r="S63" s="3"/>
      <c r="T63" s="3"/>
      <c r="U63" s="3"/>
      <c r="V63" s="3"/>
    </row>
    <row r="64">
      <c r="A64" s="15"/>
      <c r="B64" s="15"/>
      <c r="C64" s="15"/>
      <c r="D64" s="3"/>
      <c r="E64" s="3"/>
      <c r="F64" s="3"/>
      <c r="G64" s="3"/>
      <c r="H64" s="3"/>
      <c r="I64" s="3"/>
      <c r="J64" s="3"/>
      <c r="K64" s="3"/>
      <c r="L64" s="3"/>
      <c r="M64" s="3"/>
      <c r="N64" s="3"/>
      <c r="O64" s="3"/>
      <c r="P64" s="3"/>
      <c r="Q64" s="3"/>
      <c r="R64" s="3"/>
      <c r="S64" s="3"/>
      <c r="T64" s="3"/>
      <c r="U64" s="3"/>
      <c r="V64" s="3"/>
    </row>
    <row r="65">
      <c r="A65" s="15"/>
      <c r="B65" s="15"/>
      <c r="C65" s="15"/>
      <c r="D65" s="3"/>
      <c r="E65" s="3"/>
      <c r="F65" s="3"/>
      <c r="G65" s="3"/>
      <c r="H65" s="3"/>
      <c r="I65" s="3"/>
      <c r="J65" s="3"/>
      <c r="K65" s="3"/>
      <c r="L65" s="3"/>
      <c r="M65" s="3"/>
      <c r="N65" s="3"/>
      <c r="O65" s="3"/>
      <c r="P65" s="3"/>
      <c r="Q65" s="3"/>
      <c r="R65" s="3"/>
      <c r="S65" s="3"/>
      <c r="T65" s="3"/>
      <c r="U65" s="3"/>
      <c r="V65" s="3"/>
    </row>
    <row r="66">
      <c r="A66" s="15"/>
      <c r="B66" s="15"/>
      <c r="C66" s="15"/>
      <c r="D66" s="3"/>
      <c r="E66" s="3"/>
      <c r="F66" s="3"/>
      <c r="G66" s="3"/>
      <c r="H66" s="3"/>
      <c r="I66" s="3"/>
      <c r="J66" s="3"/>
      <c r="K66" s="3"/>
      <c r="L66" s="3"/>
      <c r="M66" s="3"/>
      <c r="N66" s="3"/>
      <c r="O66" s="3"/>
      <c r="P66" s="3"/>
      <c r="Q66" s="3"/>
      <c r="R66" s="3"/>
      <c r="S66" s="3"/>
      <c r="T66" s="3"/>
      <c r="U66" s="3"/>
      <c r="V66" s="3"/>
    </row>
    <row r="67">
      <c r="A67" s="15"/>
      <c r="B67" s="15"/>
      <c r="C67" s="15"/>
      <c r="D67" s="3"/>
      <c r="E67" s="3"/>
      <c r="F67" s="3"/>
      <c r="G67" s="3"/>
      <c r="H67" s="3"/>
      <c r="I67" s="3"/>
      <c r="J67" s="3"/>
      <c r="K67" s="3"/>
      <c r="L67" s="3"/>
      <c r="M67" s="3"/>
      <c r="N67" s="3"/>
      <c r="O67" s="3"/>
      <c r="P67" s="3"/>
      <c r="Q67" s="3"/>
      <c r="R67" s="3"/>
      <c r="S67" s="3"/>
      <c r="T67" s="3"/>
      <c r="U67" s="3"/>
      <c r="V67" s="3"/>
    </row>
    <row r="68">
      <c r="A68" s="15"/>
      <c r="B68" s="15"/>
      <c r="C68" s="15"/>
      <c r="D68" s="3"/>
      <c r="E68" s="3"/>
      <c r="F68" s="3"/>
      <c r="G68" s="3"/>
      <c r="H68" s="3"/>
      <c r="I68" s="3"/>
      <c r="J68" s="3"/>
      <c r="K68" s="3"/>
      <c r="L68" s="3"/>
      <c r="M68" s="3"/>
      <c r="N68" s="3"/>
      <c r="O68" s="3"/>
      <c r="P68" s="3"/>
      <c r="Q68" s="3"/>
      <c r="R68" s="3"/>
      <c r="S68" s="3"/>
      <c r="T68" s="3"/>
      <c r="U68" s="3"/>
      <c r="V68" s="3"/>
    </row>
    <row r="69">
      <c r="A69" s="15"/>
      <c r="B69" s="15"/>
      <c r="C69" s="15"/>
      <c r="D69" s="3"/>
      <c r="E69" s="3"/>
      <c r="F69" s="3"/>
      <c r="G69" s="3"/>
      <c r="H69" s="3"/>
      <c r="I69" s="3"/>
      <c r="J69" s="3"/>
      <c r="K69" s="3"/>
      <c r="L69" s="3"/>
      <c r="M69" s="3"/>
      <c r="N69" s="3"/>
      <c r="O69" s="3"/>
      <c r="P69" s="3"/>
      <c r="Q69" s="3"/>
      <c r="R69" s="3"/>
      <c r="S69" s="3"/>
      <c r="T69" s="3"/>
      <c r="U69" s="3"/>
      <c r="V69" s="3"/>
    </row>
    <row r="70">
      <c r="A70" s="15"/>
      <c r="B70" s="15"/>
      <c r="C70" s="15"/>
      <c r="D70" s="3"/>
      <c r="E70" s="3"/>
      <c r="F70" s="3"/>
      <c r="G70" s="3"/>
      <c r="H70" s="3"/>
      <c r="I70" s="3"/>
      <c r="J70" s="3"/>
      <c r="K70" s="3"/>
      <c r="L70" s="3"/>
      <c r="M70" s="3"/>
      <c r="N70" s="3"/>
      <c r="O70" s="3"/>
      <c r="P70" s="3"/>
      <c r="Q70" s="3"/>
      <c r="R70" s="3"/>
      <c r="S70" s="3"/>
      <c r="T70" s="3"/>
      <c r="U70" s="3"/>
      <c r="V70" s="3"/>
    </row>
    <row r="71">
      <c r="A71" s="15"/>
      <c r="B71" s="15"/>
      <c r="C71" s="15"/>
      <c r="D71" s="3"/>
      <c r="E71" s="3"/>
      <c r="F71" s="3"/>
      <c r="G71" s="3"/>
      <c r="H71" s="3"/>
      <c r="I71" s="3"/>
      <c r="J71" s="3"/>
      <c r="K71" s="3"/>
      <c r="L71" s="3"/>
      <c r="M71" s="3"/>
      <c r="N71" s="3"/>
      <c r="O71" s="3"/>
      <c r="P71" s="3"/>
      <c r="Q71" s="3"/>
      <c r="R71" s="3"/>
      <c r="S71" s="3"/>
      <c r="T71" s="3"/>
      <c r="U71" s="3"/>
      <c r="V71" s="3"/>
    </row>
    <row r="72">
      <c r="A72" s="15"/>
      <c r="B72" s="15"/>
      <c r="C72" s="15"/>
      <c r="D72" s="3"/>
      <c r="E72" s="3"/>
      <c r="F72" s="3"/>
      <c r="G72" s="3"/>
      <c r="H72" s="3"/>
      <c r="I72" s="3"/>
      <c r="J72" s="3"/>
      <c r="K72" s="3"/>
      <c r="L72" s="3"/>
      <c r="M72" s="3"/>
      <c r="N72" s="3"/>
      <c r="O72" s="3"/>
      <c r="P72" s="3"/>
      <c r="Q72" s="3"/>
      <c r="R72" s="3"/>
      <c r="S72" s="3"/>
      <c r="T72" s="3"/>
      <c r="U72" s="3"/>
      <c r="V72" s="3"/>
    </row>
    <row r="73">
      <c r="A73" s="15"/>
      <c r="B73" s="15"/>
      <c r="C73" s="15"/>
      <c r="D73" s="3"/>
      <c r="E73" s="3"/>
      <c r="F73" s="3"/>
      <c r="G73" s="3"/>
      <c r="H73" s="3"/>
      <c r="I73" s="3"/>
      <c r="J73" s="3"/>
      <c r="K73" s="3"/>
      <c r="L73" s="3"/>
      <c r="M73" s="3"/>
      <c r="N73" s="3"/>
      <c r="O73" s="3"/>
      <c r="P73" s="3"/>
      <c r="Q73" s="3"/>
      <c r="R73" s="3"/>
      <c r="S73" s="3"/>
      <c r="T73" s="3"/>
      <c r="U73" s="3"/>
      <c r="V73" s="3"/>
    </row>
    <row r="74">
      <c r="A74" s="15"/>
      <c r="B74" s="15"/>
      <c r="C74" s="15"/>
      <c r="D74" s="3"/>
      <c r="E74" s="3"/>
      <c r="F74" s="3"/>
      <c r="G74" s="3"/>
      <c r="H74" s="3"/>
      <c r="I74" s="3"/>
      <c r="J74" s="3"/>
      <c r="K74" s="3"/>
      <c r="L74" s="3"/>
      <c r="M74" s="3"/>
      <c r="N74" s="3"/>
      <c r="O74" s="3"/>
      <c r="P74" s="3"/>
      <c r="Q74" s="3"/>
      <c r="R74" s="3"/>
      <c r="S74" s="3"/>
      <c r="T74" s="3"/>
      <c r="U74" s="3"/>
      <c r="V74" s="3"/>
    </row>
    <row r="75">
      <c r="A75" s="15"/>
      <c r="B75" s="15"/>
      <c r="C75" s="15"/>
      <c r="D75" s="3"/>
      <c r="E75" s="3"/>
      <c r="F75" s="3"/>
      <c r="G75" s="3"/>
      <c r="H75" s="3"/>
      <c r="I75" s="3"/>
      <c r="J75" s="3"/>
      <c r="K75" s="3"/>
      <c r="L75" s="3"/>
      <c r="M75" s="3"/>
      <c r="N75" s="3"/>
      <c r="O75" s="3"/>
      <c r="P75" s="3"/>
      <c r="Q75" s="3"/>
      <c r="R75" s="3"/>
      <c r="S75" s="3"/>
      <c r="T75" s="3"/>
      <c r="U75" s="3"/>
      <c r="V75" s="3"/>
    </row>
    <row r="76">
      <c r="A76" s="15"/>
      <c r="B76" s="15"/>
      <c r="C76" s="15"/>
      <c r="D76" s="3"/>
      <c r="E76" s="3"/>
      <c r="F76" s="3"/>
      <c r="G76" s="3"/>
      <c r="H76" s="3"/>
      <c r="I76" s="3"/>
      <c r="J76" s="3"/>
      <c r="K76" s="3"/>
      <c r="L76" s="3"/>
      <c r="M76" s="3"/>
      <c r="N76" s="3"/>
      <c r="O76" s="3"/>
      <c r="P76" s="3"/>
      <c r="Q76" s="3"/>
      <c r="R76" s="3"/>
      <c r="S76" s="3"/>
      <c r="T76" s="3"/>
      <c r="U76" s="3"/>
      <c r="V76" s="3"/>
    </row>
    <row r="77">
      <c r="A77" s="15"/>
      <c r="B77" s="15"/>
      <c r="C77" s="15"/>
      <c r="D77" s="3"/>
      <c r="E77" s="3"/>
      <c r="F77" s="3"/>
      <c r="G77" s="3"/>
      <c r="H77" s="3"/>
      <c r="I77" s="3"/>
      <c r="J77" s="3"/>
      <c r="K77" s="3"/>
      <c r="L77" s="3"/>
      <c r="M77" s="3"/>
      <c r="N77" s="3"/>
      <c r="O77" s="3"/>
      <c r="P77" s="3"/>
      <c r="Q77" s="3"/>
      <c r="R77" s="3"/>
      <c r="S77" s="3"/>
      <c r="T77" s="3"/>
      <c r="U77" s="3"/>
      <c r="V77" s="3"/>
    </row>
    <row r="78">
      <c r="A78" s="15"/>
      <c r="B78" s="15"/>
      <c r="C78" s="15"/>
      <c r="D78" s="3"/>
      <c r="E78" s="3"/>
      <c r="F78" s="3"/>
      <c r="G78" s="3"/>
      <c r="H78" s="3"/>
      <c r="I78" s="3"/>
      <c r="J78" s="3"/>
      <c r="K78" s="3"/>
      <c r="L78" s="3"/>
      <c r="M78" s="3"/>
      <c r="N78" s="3"/>
      <c r="O78" s="3"/>
      <c r="P78" s="3"/>
      <c r="Q78" s="3"/>
      <c r="R78" s="3"/>
      <c r="S78" s="3"/>
      <c r="T78" s="3"/>
      <c r="U78" s="3"/>
      <c r="V78" s="3"/>
    </row>
    <row r="79">
      <c r="A79" s="15"/>
      <c r="B79" s="15"/>
      <c r="C79" s="15"/>
      <c r="D79" s="3"/>
      <c r="E79" s="3"/>
      <c r="F79" s="3"/>
      <c r="G79" s="3"/>
      <c r="H79" s="3"/>
      <c r="I79" s="3"/>
      <c r="J79" s="3"/>
      <c r="K79" s="3"/>
      <c r="L79" s="3"/>
      <c r="M79" s="3"/>
      <c r="N79" s="3"/>
      <c r="O79" s="3"/>
      <c r="P79" s="3"/>
      <c r="Q79" s="3"/>
      <c r="R79" s="3"/>
      <c r="S79" s="3"/>
      <c r="T79" s="3"/>
      <c r="U79" s="3"/>
      <c r="V79" s="3"/>
    </row>
    <row r="80">
      <c r="A80" s="15"/>
      <c r="B80" s="15"/>
      <c r="C80" s="15"/>
      <c r="D80" s="3"/>
      <c r="E80" s="3"/>
      <c r="F80" s="3"/>
      <c r="G80" s="3"/>
      <c r="H80" s="3"/>
      <c r="I80" s="3"/>
      <c r="J80" s="3"/>
      <c r="K80" s="3"/>
      <c r="L80" s="3"/>
      <c r="M80" s="3"/>
      <c r="N80" s="3"/>
      <c r="O80" s="3"/>
      <c r="P80" s="3"/>
      <c r="Q80" s="3"/>
      <c r="R80" s="3"/>
      <c r="S80" s="3"/>
      <c r="T80" s="3"/>
      <c r="U80" s="3"/>
      <c r="V80" s="3"/>
    </row>
    <row r="81">
      <c r="A81" s="15"/>
      <c r="B81" s="15"/>
      <c r="C81" s="15"/>
      <c r="D81" s="3"/>
      <c r="E81" s="3"/>
      <c r="F81" s="3"/>
      <c r="G81" s="3"/>
      <c r="H81" s="3"/>
      <c r="I81" s="3"/>
      <c r="J81" s="3"/>
      <c r="K81" s="3"/>
      <c r="L81" s="3"/>
      <c r="M81" s="3"/>
      <c r="N81" s="3"/>
      <c r="O81" s="3"/>
      <c r="P81" s="3"/>
      <c r="Q81" s="3"/>
      <c r="R81" s="3"/>
      <c r="S81" s="3"/>
      <c r="T81" s="3"/>
      <c r="U81" s="3"/>
      <c r="V81" s="3"/>
    </row>
    <row r="82">
      <c r="A82" s="15"/>
      <c r="B82" s="15"/>
      <c r="C82" s="15"/>
      <c r="D82" s="3"/>
      <c r="E82" s="3"/>
      <c r="F82" s="3"/>
      <c r="G82" s="3"/>
      <c r="H82" s="3"/>
      <c r="I82" s="3"/>
      <c r="J82" s="3"/>
      <c r="K82" s="3"/>
      <c r="L82" s="3"/>
      <c r="M82" s="3"/>
      <c r="N82" s="3"/>
      <c r="O82" s="3"/>
      <c r="P82" s="3"/>
      <c r="Q82" s="3"/>
      <c r="R82" s="3"/>
      <c r="S82" s="3"/>
      <c r="T82" s="3"/>
      <c r="U82" s="3"/>
      <c r="V82" s="3"/>
    </row>
    <row r="83">
      <c r="A83" s="15"/>
      <c r="B83" s="15"/>
      <c r="C83" s="15"/>
      <c r="D83" s="3"/>
      <c r="E83" s="3"/>
      <c r="F83" s="3"/>
      <c r="G83" s="3"/>
      <c r="H83" s="3"/>
      <c r="I83" s="3"/>
      <c r="J83" s="3"/>
      <c r="K83" s="3"/>
      <c r="L83" s="3"/>
      <c r="M83" s="3"/>
      <c r="N83" s="3"/>
      <c r="O83" s="3"/>
      <c r="P83" s="3"/>
      <c r="Q83" s="3"/>
      <c r="R83" s="3"/>
      <c r="S83" s="3"/>
      <c r="T83" s="3"/>
      <c r="U83" s="3"/>
      <c r="V83" s="3"/>
    </row>
    <row r="84">
      <c r="A84" s="15"/>
      <c r="B84" s="15"/>
      <c r="C84" s="15"/>
      <c r="D84" s="3"/>
      <c r="E84" s="3"/>
      <c r="F84" s="3"/>
      <c r="G84" s="3"/>
      <c r="H84" s="3"/>
      <c r="I84" s="3"/>
      <c r="J84" s="3"/>
      <c r="K84" s="3"/>
      <c r="L84" s="3"/>
      <c r="M84" s="3"/>
      <c r="N84" s="3"/>
      <c r="O84" s="3"/>
      <c r="P84" s="3"/>
      <c r="Q84" s="3"/>
      <c r="R84" s="3"/>
      <c r="S84" s="3"/>
      <c r="T84" s="3"/>
      <c r="U84" s="3"/>
      <c r="V84" s="3"/>
    </row>
    <row r="85">
      <c r="A85" s="15"/>
      <c r="B85" s="15"/>
      <c r="C85" s="15"/>
      <c r="D85" s="3"/>
      <c r="E85" s="3"/>
      <c r="F85" s="3"/>
      <c r="G85" s="3"/>
      <c r="H85" s="3"/>
      <c r="I85" s="3"/>
      <c r="J85" s="3"/>
      <c r="K85" s="3"/>
      <c r="L85" s="3"/>
      <c r="M85" s="3"/>
      <c r="N85" s="3"/>
      <c r="O85" s="3"/>
      <c r="P85" s="3"/>
      <c r="Q85" s="3"/>
      <c r="R85" s="3"/>
      <c r="S85" s="3"/>
      <c r="T85" s="3"/>
      <c r="U85" s="3"/>
      <c r="V85" s="3"/>
    </row>
    <row r="86">
      <c r="A86" s="15"/>
      <c r="B86" s="15"/>
      <c r="C86" s="15"/>
      <c r="D86" s="3"/>
      <c r="E86" s="3"/>
      <c r="F86" s="3"/>
      <c r="G86" s="3"/>
      <c r="H86" s="3"/>
      <c r="I86" s="3"/>
      <c r="J86" s="3"/>
      <c r="K86" s="3"/>
      <c r="L86" s="3"/>
      <c r="M86" s="3"/>
      <c r="N86" s="3"/>
      <c r="O86" s="3"/>
      <c r="P86" s="3"/>
      <c r="Q86" s="3"/>
      <c r="R86" s="3"/>
      <c r="S86" s="3"/>
      <c r="T86" s="3"/>
      <c r="U86" s="3"/>
      <c r="V86" s="3"/>
    </row>
    <row r="87">
      <c r="A87" s="15"/>
      <c r="B87" s="15"/>
      <c r="C87" s="15"/>
      <c r="D87" s="3"/>
      <c r="E87" s="3"/>
      <c r="F87" s="3"/>
      <c r="G87" s="3"/>
      <c r="H87" s="3"/>
      <c r="I87" s="3"/>
      <c r="J87" s="3"/>
      <c r="K87" s="3"/>
      <c r="L87" s="3"/>
      <c r="M87" s="3"/>
      <c r="N87" s="3"/>
      <c r="O87" s="3"/>
      <c r="P87" s="3"/>
      <c r="Q87" s="3"/>
      <c r="R87" s="3"/>
      <c r="S87" s="3"/>
      <c r="T87" s="3"/>
      <c r="U87" s="3"/>
      <c r="V87" s="3"/>
    </row>
    <row r="88">
      <c r="A88" s="15"/>
      <c r="B88" s="15"/>
      <c r="C88" s="15"/>
      <c r="D88" s="3"/>
      <c r="E88" s="3"/>
      <c r="F88" s="3"/>
      <c r="G88" s="3"/>
      <c r="H88" s="3"/>
      <c r="I88" s="3"/>
      <c r="J88" s="3"/>
      <c r="K88" s="3"/>
      <c r="L88" s="3"/>
      <c r="M88" s="3"/>
      <c r="N88" s="3"/>
      <c r="O88" s="3"/>
      <c r="P88" s="3"/>
      <c r="Q88" s="3"/>
      <c r="R88" s="3"/>
      <c r="S88" s="3"/>
      <c r="T88" s="3"/>
      <c r="U88" s="3"/>
      <c r="V88" s="3"/>
    </row>
    <row r="89">
      <c r="A89" s="15"/>
      <c r="B89" s="15"/>
      <c r="C89" s="15"/>
      <c r="D89" s="3"/>
      <c r="E89" s="3"/>
      <c r="F89" s="3"/>
      <c r="G89" s="3"/>
      <c r="H89" s="3"/>
      <c r="I89" s="3"/>
      <c r="J89" s="3"/>
      <c r="K89" s="3"/>
      <c r="L89" s="3"/>
      <c r="M89" s="3"/>
      <c r="N89" s="3"/>
      <c r="O89" s="3"/>
      <c r="P89" s="3"/>
      <c r="Q89" s="3"/>
      <c r="R89" s="3"/>
      <c r="S89" s="3"/>
      <c r="T89" s="3"/>
      <c r="U89" s="3"/>
      <c r="V89" s="3"/>
    </row>
    <row r="90">
      <c r="A90" s="15"/>
      <c r="B90" s="15"/>
      <c r="C90" s="15"/>
      <c r="D90" s="3"/>
      <c r="E90" s="3"/>
      <c r="F90" s="3"/>
      <c r="G90" s="3"/>
      <c r="H90" s="3"/>
      <c r="I90" s="3"/>
      <c r="J90" s="3"/>
      <c r="K90" s="3"/>
      <c r="L90" s="3"/>
      <c r="M90" s="3"/>
      <c r="N90" s="3"/>
      <c r="O90" s="3"/>
      <c r="P90" s="3"/>
      <c r="Q90" s="3"/>
      <c r="R90" s="3"/>
      <c r="S90" s="3"/>
      <c r="T90" s="3"/>
      <c r="U90" s="3"/>
      <c r="V90" s="3"/>
    </row>
    <row r="91">
      <c r="A91" s="15"/>
      <c r="B91" s="15"/>
      <c r="C91" s="15"/>
      <c r="D91" s="3"/>
      <c r="E91" s="3"/>
      <c r="F91" s="3"/>
      <c r="G91" s="3"/>
      <c r="H91" s="3"/>
      <c r="I91" s="3"/>
      <c r="J91" s="3"/>
      <c r="K91" s="3"/>
      <c r="L91" s="3"/>
      <c r="M91" s="3"/>
      <c r="N91" s="3"/>
      <c r="O91" s="3"/>
      <c r="P91" s="3"/>
      <c r="Q91" s="3"/>
      <c r="R91" s="3"/>
      <c r="S91" s="3"/>
      <c r="T91" s="3"/>
      <c r="U91" s="3"/>
      <c r="V91" s="3"/>
    </row>
    <row r="92">
      <c r="A92" s="15"/>
      <c r="B92" s="15"/>
      <c r="C92" s="15"/>
      <c r="D92" s="3"/>
      <c r="E92" s="3"/>
      <c r="F92" s="3"/>
      <c r="G92" s="3"/>
      <c r="H92" s="3"/>
      <c r="I92" s="3"/>
      <c r="J92" s="3"/>
      <c r="K92" s="3"/>
      <c r="L92" s="3"/>
      <c r="M92" s="3"/>
      <c r="N92" s="3"/>
      <c r="O92" s="3"/>
      <c r="P92" s="3"/>
      <c r="Q92" s="3"/>
      <c r="R92" s="3"/>
      <c r="S92" s="3"/>
      <c r="T92" s="3"/>
      <c r="U92" s="3"/>
      <c r="V92" s="3"/>
    </row>
    <row r="93">
      <c r="A93" s="15"/>
      <c r="B93" s="15"/>
      <c r="C93" s="15"/>
      <c r="D93" s="3"/>
      <c r="E93" s="3"/>
      <c r="F93" s="3"/>
      <c r="G93" s="3"/>
      <c r="H93" s="3"/>
      <c r="I93" s="3"/>
      <c r="J93" s="3"/>
      <c r="K93" s="3"/>
      <c r="L93" s="3"/>
      <c r="M93" s="3"/>
      <c r="N93" s="3"/>
      <c r="O93" s="3"/>
      <c r="P93" s="3"/>
      <c r="Q93" s="3"/>
      <c r="R93" s="3"/>
      <c r="S93" s="3"/>
      <c r="T93" s="3"/>
      <c r="U93" s="3"/>
      <c r="V93" s="3"/>
    </row>
    <row r="94">
      <c r="A94" s="15"/>
      <c r="B94" s="15"/>
      <c r="C94" s="15"/>
      <c r="D94" s="3"/>
      <c r="E94" s="3"/>
      <c r="F94" s="3"/>
      <c r="G94" s="3"/>
      <c r="H94" s="3"/>
      <c r="I94" s="3"/>
      <c r="J94" s="3"/>
      <c r="K94" s="3"/>
      <c r="L94" s="3"/>
      <c r="M94" s="3"/>
      <c r="N94" s="3"/>
      <c r="O94" s="3"/>
      <c r="P94" s="3"/>
      <c r="Q94" s="3"/>
      <c r="R94" s="3"/>
      <c r="S94" s="3"/>
      <c r="T94" s="3"/>
      <c r="U94" s="3"/>
      <c r="V94" s="3"/>
    </row>
    <row r="95">
      <c r="A95" s="15"/>
      <c r="B95" s="15"/>
      <c r="C95" s="15"/>
      <c r="D95" s="3"/>
      <c r="E95" s="3"/>
      <c r="F95" s="3"/>
      <c r="G95" s="3"/>
      <c r="H95" s="3"/>
      <c r="I95" s="3"/>
      <c r="J95" s="3"/>
      <c r="K95" s="3"/>
      <c r="L95" s="3"/>
      <c r="M95" s="3"/>
      <c r="N95" s="3"/>
      <c r="O95" s="3"/>
      <c r="P95" s="3"/>
      <c r="Q95" s="3"/>
      <c r="R95" s="3"/>
      <c r="S95" s="3"/>
      <c r="T95" s="3"/>
      <c r="U95" s="3"/>
      <c r="V95" s="3"/>
    </row>
    <row r="96">
      <c r="A96" s="15"/>
      <c r="B96" s="15"/>
      <c r="C96" s="15"/>
      <c r="D96" s="3"/>
      <c r="E96" s="3"/>
      <c r="F96" s="3"/>
      <c r="G96" s="3"/>
      <c r="H96" s="3"/>
      <c r="I96" s="3"/>
      <c r="J96" s="3"/>
      <c r="K96" s="3"/>
      <c r="L96" s="3"/>
      <c r="M96" s="3"/>
      <c r="N96" s="3"/>
      <c r="O96" s="3"/>
      <c r="P96" s="3"/>
      <c r="Q96" s="3"/>
      <c r="R96" s="3"/>
      <c r="S96" s="3"/>
      <c r="T96" s="3"/>
      <c r="U96" s="3"/>
      <c r="V96" s="3"/>
    </row>
    <row r="97">
      <c r="A97" s="15"/>
      <c r="B97" s="15"/>
      <c r="C97" s="15"/>
      <c r="D97" s="3"/>
      <c r="E97" s="3"/>
      <c r="F97" s="3"/>
      <c r="G97" s="3"/>
      <c r="H97" s="3"/>
      <c r="I97" s="3"/>
      <c r="J97" s="3"/>
      <c r="K97" s="3"/>
      <c r="L97" s="3"/>
      <c r="M97" s="3"/>
      <c r="N97" s="3"/>
      <c r="O97" s="3"/>
      <c r="P97" s="3"/>
      <c r="Q97" s="3"/>
      <c r="R97" s="3"/>
      <c r="S97" s="3"/>
      <c r="T97" s="3"/>
      <c r="U97" s="3"/>
      <c r="V97" s="3"/>
    </row>
    <row r="98">
      <c r="A98" s="15"/>
      <c r="B98" s="15"/>
      <c r="C98" s="15"/>
      <c r="D98" s="3"/>
      <c r="E98" s="3"/>
      <c r="F98" s="3"/>
      <c r="G98" s="3"/>
      <c r="H98" s="3"/>
      <c r="I98" s="3"/>
      <c r="J98" s="3"/>
      <c r="K98" s="3"/>
      <c r="L98" s="3"/>
      <c r="M98" s="3"/>
      <c r="N98" s="3"/>
      <c r="O98" s="3"/>
      <c r="P98" s="3"/>
      <c r="Q98" s="3"/>
      <c r="R98" s="3"/>
      <c r="S98" s="3"/>
      <c r="T98" s="3"/>
      <c r="U98" s="3"/>
      <c r="V98" s="3"/>
    </row>
    <row r="99">
      <c r="A99" s="15"/>
      <c r="B99" s="15"/>
      <c r="C99" s="15"/>
      <c r="D99" s="3"/>
      <c r="E99" s="3"/>
      <c r="F99" s="3"/>
      <c r="G99" s="3"/>
      <c r="H99" s="3"/>
      <c r="I99" s="3"/>
      <c r="J99" s="3"/>
      <c r="K99" s="3"/>
      <c r="L99" s="3"/>
      <c r="M99" s="3"/>
      <c r="N99" s="3"/>
      <c r="O99" s="3"/>
      <c r="P99" s="3"/>
      <c r="Q99" s="3"/>
      <c r="R99" s="3"/>
      <c r="S99" s="3"/>
      <c r="T99" s="3"/>
      <c r="U99" s="3"/>
      <c r="V99" s="3"/>
    </row>
    <row r="100">
      <c r="A100" s="15"/>
      <c r="B100" s="15"/>
      <c r="C100" s="15"/>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sheetData>
  <autoFilter ref="$A$1:$C$100"/>
  <dataValidations>
    <dataValidation type="custom" allowBlank="1" showDropDown="1" showInputMessage="1" showErrorMessage="1" prompt="Nie używaj średnika!" sqref="B2:C100">
      <formula1>ISERROR(SEARCH((";"),(B2)))</formula1>
    </dataValidation>
    <dataValidation type="decimal" allowBlank="1" showDropDown="1" showInputMessage="1" showErrorMessage="1" prompt="Podaj liczbę od 1 do 100." sqref="A2:A100">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5" width="15.13"/>
    <col customWidth="1" min="6" max="6" width="79.13"/>
    <col customWidth="1" min="7" max="7" width="50.13"/>
    <col customWidth="1" hidden="1" min="8" max="8" width="16.38"/>
    <col customWidth="1" min="9" max="9" width="25.13"/>
    <col customWidth="1" min="10" max="10" width="16.38"/>
  </cols>
  <sheetData>
    <row r="1">
      <c r="A1" s="25" t="s">
        <v>178</v>
      </c>
      <c r="B1" s="25" t="s">
        <v>179</v>
      </c>
      <c r="C1" s="25" t="s">
        <v>180</v>
      </c>
      <c r="D1" s="25" t="s">
        <v>181</v>
      </c>
      <c r="E1" s="26" t="s">
        <v>182</v>
      </c>
      <c r="F1" s="25" t="s">
        <v>183</v>
      </c>
      <c r="G1" s="27" t="s">
        <v>184</v>
      </c>
      <c r="H1" s="28" t="s">
        <v>185</v>
      </c>
      <c r="I1" s="27" t="s">
        <v>186</v>
      </c>
      <c r="J1" s="27" t="s">
        <v>187</v>
      </c>
      <c r="K1" s="27" t="s">
        <v>188</v>
      </c>
      <c r="L1" s="29"/>
      <c r="M1" s="4"/>
      <c r="N1" s="5"/>
      <c r="O1" s="5"/>
      <c r="P1" s="6"/>
      <c r="Q1" s="5"/>
      <c r="R1" s="29"/>
      <c r="S1" s="29"/>
      <c r="T1" s="29"/>
      <c r="U1" s="29"/>
      <c r="V1" s="29"/>
      <c r="W1" s="29"/>
      <c r="X1" s="29"/>
      <c r="Y1" s="29"/>
      <c r="Z1" s="29"/>
      <c r="AA1" s="29"/>
      <c r="AB1" s="29"/>
      <c r="AC1" s="29"/>
      <c r="AD1" s="29"/>
      <c r="AE1" s="29"/>
    </row>
    <row r="2">
      <c r="A2" s="7" t="s">
        <v>189</v>
      </c>
      <c r="B2" s="7" t="s">
        <v>190</v>
      </c>
      <c r="C2" s="7" t="s">
        <v>191</v>
      </c>
      <c r="D2" s="7" t="s">
        <v>12</v>
      </c>
      <c r="E2" s="23">
        <v>30.0</v>
      </c>
      <c r="F2" s="7" t="s">
        <v>192</v>
      </c>
      <c r="G2" s="7" t="s">
        <v>193</v>
      </c>
      <c r="H2" s="7"/>
      <c r="I2" s="7" t="s">
        <v>194</v>
      </c>
      <c r="J2" s="7" t="s">
        <v>191</v>
      </c>
      <c r="K2" s="7"/>
      <c r="L2" s="29"/>
      <c r="M2" s="5"/>
      <c r="N2" s="29"/>
      <c r="O2" s="29"/>
      <c r="P2" s="29"/>
      <c r="Q2" s="29"/>
      <c r="R2" s="29"/>
      <c r="S2" s="29"/>
      <c r="T2" s="29"/>
      <c r="U2" s="29"/>
      <c r="V2" s="29"/>
      <c r="W2" s="29"/>
      <c r="X2" s="29"/>
      <c r="Y2" s="29"/>
      <c r="Z2" s="29"/>
      <c r="AA2" s="29"/>
      <c r="AB2" s="29"/>
      <c r="AC2" s="29"/>
      <c r="AD2" s="29"/>
      <c r="AE2" s="29"/>
    </row>
    <row r="3">
      <c r="A3" s="7" t="s">
        <v>195</v>
      </c>
      <c r="B3" s="7" t="s">
        <v>190</v>
      </c>
      <c r="C3" s="7" t="s">
        <v>191</v>
      </c>
      <c r="D3" s="7" t="s">
        <v>16</v>
      </c>
      <c r="E3" s="23">
        <v>30.0</v>
      </c>
      <c r="F3" s="7" t="s">
        <v>196</v>
      </c>
      <c r="G3" s="7" t="s">
        <v>197</v>
      </c>
      <c r="H3" s="7"/>
      <c r="I3" s="7"/>
      <c r="J3" s="7" t="s">
        <v>198</v>
      </c>
      <c r="K3" s="7"/>
      <c r="L3" s="29"/>
      <c r="M3" s="5"/>
      <c r="N3" s="30"/>
      <c r="O3" s="29"/>
      <c r="P3" s="29"/>
      <c r="Q3" s="29"/>
      <c r="R3" s="29"/>
      <c r="S3" s="29"/>
      <c r="T3" s="29"/>
      <c r="U3" s="29"/>
      <c r="V3" s="29"/>
      <c r="W3" s="29"/>
      <c r="X3" s="29"/>
      <c r="Y3" s="29"/>
      <c r="Z3" s="29"/>
      <c r="AA3" s="29"/>
      <c r="AB3" s="29"/>
      <c r="AC3" s="29"/>
      <c r="AD3" s="29"/>
      <c r="AE3" s="29"/>
    </row>
    <row r="4">
      <c r="A4" s="7" t="s">
        <v>199</v>
      </c>
      <c r="B4" s="7" t="s">
        <v>190</v>
      </c>
      <c r="C4" s="7" t="s">
        <v>191</v>
      </c>
      <c r="D4" s="7" t="s">
        <v>19</v>
      </c>
      <c r="E4" s="23">
        <v>30.0</v>
      </c>
      <c r="F4" s="7" t="s">
        <v>200</v>
      </c>
      <c r="G4" s="7" t="s">
        <v>201</v>
      </c>
      <c r="H4" s="7"/>
      <c r="I4" s="7"/>
      <c r="J4" s="31" t="s">
        <v>202</v>
      </c>
      <c r="K4" s="7"/>
      <c r="L4" s="29"/>
      <c r="M4" s="5"/>
      <c r="N4" s="30"/>
      <c r="O4" s="29"/>
      <c r="P4" s="29"/>
      <c r="Q4" s="29"/>
      <c r="R4" s="29"/>
      <c r="S4" s="29"/>
      <c r="T4" s="29"/>
      <c r="U4" s="29"/>
      <c r="V4" s="29"/>
      <c r="W4" s="29"/>
      <c r="X4" s="29"/>
      <c r="Y4" s="29"/>
      <c r="Z4" s="29"/>
      <c r="AA4" s="29"/>
      <c r="AB4" s="29"/>
      <c r="AC4" s="29"/>
      <c r="AD4" s="29"/>
      <c r="AE4" s="29"/>
    </row>
    <row r="5">
      <c r="A5" s="7" t="s">
        <v>203</v>
      </c>
      <c r="B5" s="7" t="s">
        <v>204</v>
      </c>
      <c r="C5" s="7" t="s">
        <v>191</v>
      </c>
      <c r="D5" s="7" t="s">
        <v>205</v>
      </c>
      <c r="E5" s="23">
        <v>10.0</v>
      </c>
      <c r="F5" s="7" t="s">
        <v>206</v>
      </c>
      <c r="G5" s="7" t="s">
        <v>207</v>
      </c>
      <c r="H5" s="7"/>
      <c r="I5" s="7"/>
      <c r="J5" s="7"/>
      <c r="K5" s="7"/>
      <c r="L5" s="29"/>
      <c r="M5" s="5"/>
      <c r="N5" s="29"/>
      <c r="O5" s="29"/>
      <c r="P5" s="29"/>
      <c r="Q5" s="29"/>
      <c r="R5" s="29"/>
      <c r="S5" s="29"/>
      <c r="T5" s="29"/>
      <c r="U5" s="29"/>
      <c r="V5" s="29"/>
      <c r="W5" s="29"/>
      <c r="X5" s="29"/>
      <c r="Y5" s="29"/>
      <c r="Z5" s="29"/>
      <c r="AA5" s="29"/>
      <c r="AB5" s="29"/>
      <c r="AC5" s="29"/>
      <c r="AD5" s="29"/>
      <c r="AE5" s="29"/>
    </row>
    <row r="6">
      <c r="A6" s="7" t="s">
        <v>208</v>
      </c>
      <c r="B6" s="7" t="s">
        <v>190</v>
      </c>
      <c r="C6" s="7" t="s">
        <v>191</v>
      </c>
      <c r="D6" s="7" t="s">
        <v>20</v>
      </c>
      <c r="E6" s="23">
        <v>30.0</v>
      </c>
      <c r="F6" s="32" t="s">
        <v>209</v>
      </c>
      <c r="G6" s="7" t="s">
        <v>210</v>
      </c>
      <c r="H6" s="7"/>
      <c r="I6" s="7"/>
      <c r="J6" s="7" t="s">
        <v>211</v>
      </c>
      <c r="K6" s="7"/>
      <c r="L6" s="29"/>
      <c r="M6" s="5"/>
      <c r="N6" s="29"/>
      <c r="O6" s="29"/>
      <c r="P6" s="29"/>
      <c r="Q6" s="29"/>
      <c r="R6" s="29"/>
      <c r="S6" s="29"/>
      <c r="T6" s="29"/>
      <c r="U6" s="29"/>
      <c r="V6" s="29"/>
      <c r="W6" s="29"/>
      <c r="X6" s="29"/>
      <c r="Y6" s="29"/>
      <c r="Z6" s="29"/>
      <c r="AA6" s="29"/>
      <c r="AB6" s="29"/>
      <c r="AC6" s="29"/>
      <c r="AD6" s="29"/>
      <c r="AE6" s="29"/>
    </row>
    <row r="7">
      <c r="A7" s="7" t="s">
        <v>212</v>
      </c>
      <c r="B7" s="7" t="s">
        <v>190</v>
      </c>
      <c r="C7" s="7" t="s">
        <v>191</v>
      </c>
      <c r="D7" s="7" t="s">
        <v>21</v>
      </c>
      <c r="E7" s="23">
        <v>30.0</v>
      </c>
      <c r="F7" s="32" t="s">
        <v>213</v>
      </c>
      <c r="G7" s="7"/>
      <c r="H7" s="7"/>
      <c r="I7" s="7"/>
      <c r="J7" s="7" t="s">
        <v>214</v>
      </c>
      <c r="K7" s="7"/>
      <c r="L7" s="29"/>
      <c r="M7" s="5"/>
      <c r="N7" s="29"/>
      <c r="O7" s="29"/>
      <c r="P7" s="29"/>
      <c r="Q7" s="29"/>
      <c r="R7" s="29"/>
      <c r="S7" s="29"/>
      <c r="T7" s="29"/>
      <c r="U7" s="29"/>
      <c r="V7" s="29"/>
      <c r="W7" s="29"/>
      <c r="X7" s="29"/>
      <c r="Y7" s="29"/>
      <c r="Z7" s="29"/>
      <c r="AA7" s="29"/>
      <c r="AB7" s="29"/>
      <c r="AC7" s="29"/>
      <c r="AD7" s="29"/>
      <c r="AE7" s="29"/>
    </row>
    <row r="8">
      <c r="A8" s="7" t="s">
        <v>215</v>
      </c>
      <c r="B8" s="7" t="s">
        <v>190</v>
      </c>
      <c r="C8" s="7" t="s">
        <v>191</v>
      </c>
      <c r="D8" s="7" t="s">
        <v>24</v>
      </c>
      <c r="E8" s="23">
        <v>30.0</v>
      </c>
      <c r="F8" s="7" t="s">
        <v>216</v>
      </c>
      <c r="G8" s="7"/>
      <c r="H8" s="7"/>
      <c r="I8" s="7"/>
      <c r="J8" s="7"/>
      <c r="K8" s="7"/>
      <c r="L8" s="29"/>
      <c r="M8" s="5"/>
      <c r="N8" s="29"/>
      <c r="O8" s="29"/>
      <c r="P8" s="29"/>
      <c r="Q8" s="29"/>
      <c r="R8" s="29"/>
      <c r="S8" s="29"/>
      <c r="T8" s="29"/>
      <c r="U8" s="29"/>
      <c r="V8" s="29"/>
      <c r="W8" s="29"/>
      <c r="X8" s="29"/>
      <c r="Y8" s="29"/>
      <c r="Z8" s="29"/>
      <c r="AA8" s="29"/>
      <c r="AB8" s="29"/>
      <c r="AC8" s="29"/>
      <c r="AD8" s="29"/>
      <c r="AE8" s="29"/>
    </row>
    <row r="9">
      <c r="A9" s="7" t="s">
        <v>217</v>
      </c>
      <c r="B9" s="7" t="s">
        <v>190</v>
      </c>
      <c r="C9" s="7" t="s">
        <v>191</v>
      </c>
      <c r="D9" s="7" t="s">
        <v>25</v>
      </c>
      <c r="E9" s="23">
        <v>30.0</v>
      </c>
      <c r="F9" s="7" t="s">
        <v>218</v>
      </c>
      <c r="G9" s="7"/>
      <c r="H9" s="7"/>
      <c r="I9" s="7"/>
      <c r="J9" s="7"/>
      <c r="K9" s="7"/>
      <c r="L9" s="29"/>
      <c r="M9" s="5"/>
      <c r="N9" s="29"/>
      <c r="O9" s="29"/>
      <c r="P9" s="29"/>
      <c r="Q9" s="29"/>
      <c r="R9" s="29"/>
      <c r="S9" s="29"/>
      <c r="T9" s="29"/>
      <c r="U9" s="29"/>
      <c r="V9" s="29"/>
      <c r="W9" s="29"/>
      <c r="X9" s="29"/>
      <c r="Y9" s="29"/>
      <c r="Z9" s="29"/>
      <c r="AA9" s="29"/>
      <c r="AB9" s="29"/>
      <c r="AC9" s="29"/>
      <c r="AD9" s="29"/>
      <c r="AE9" s="29"/>
    </row>
    <row r="10">
      <c r="A10" s="7" t="s">
        <v>219</v>
      </c>
      <c r="B10" s="16" t="s">
        <v>190</v>
      </c>
      <c r="C10" s="16" t="s">
        <v>191</v>
      </c>
      <c r="D10" s="16" t="s">
        <v>26</v>
      </c>
      <c r="E10" s="33">
        <v>30.0</v>
      </c>
      <c r="F10" s="16" t="s">
        <v>220</v>
      </c>
      <c r="G10" s="16"/>
      <c r="H10" s="7"/>
      <c r="I10" s="7"/>
      <c r="J10" s="7"/>
      <c r="K10" s="7"/>
      <c r="L10" s="29"/>
      <c r="M10" s="5"/>
      <c r="N10" s="29"/>
      <c r="O10" s="29"/>
      <c r="P10" s="29"/>
      <c r="Q10" s="29"/>
      <c r="R10" s="29"/>
      <c r="S10" s="29"/>
      <c r="T10" s="29"/>
      <c r="U10" s="29"/>
      <c r="V10" s="29"/>
      <c r="W10" s="29"/>
      <c r="X10" s="29"/>
      <c r="Y10" s="29"/>
      <c r="Z10" s="29"/>
      <c r="AA10" s="29"/>
      <c r="AB10" s="29"/>
      <c r="AC10" s="29"/>
      <c r="AD10" s="29"/>
      <c r="AE10" s="29"/>
    </row>
    <row r="11">
      <c r="A11" s="7" t="s">
        <v>221</v>
      </c>
      <c r="B11" s="7" t="s">
        <v>190</v>
      </c>
      <c r="C11" s="7" t="s">
        <v>191</v>
      </c>
      <c r="D11" s="7" t="s">
        <v>27</v>
      </c>
      <c r="E11" s="23">
        <v>30.0</v>
      </c>
      <c r="F11" s="32" t="s">
        <v>222</v>
      </c>
      <c r="G11" s="7"/>
      <c r="H11" s="7"/>
      <c r="I11" s="7"/>
      <c r="J11" s="7"/>
      <c r="K11" s="7"/>
      <c r="L11" s="29"/>
      <c r="M11" s="5"/>
      <c r="N11" s="29"/>
      <c r="O11" s="29"/>
      <c r="P11" s="29"/>
      <c r="Q11" s="29"/>
      <c r="R11" s="29"/>
      <c r="S11" s="29"/>
      <c r="T11" s="29"/>
      <c r="U11" s="29"/>
      <c r="V11" s="29"/>
      <c r="W11" s="29"/>
      <c r="X11" s="29"/>
      <c r="Y11" s="29"/>
      <c r="Z11" s="29"/>
      <c r="AA11" s="29"/>
      <c r="AB11" s="29"/>
      <c r="AC11" s="29"/>
      <c r="AD11" s="29"/>
      <c r="AE11" s="29"/>
    </row>
    <row r="12">
      <c r="A12" s="7" t="s">
        <v>223</v>
      </c>
      <c r="B12" s="7" t="s">
        <v>190</v>
      </c>
      <c r="C12" s="7" t="s">
        <v>191</v>
      </c>
      <c r="D12" s="7" t="s">
        <v>28</v>
      </c>
      <c r="E12" s="23">
        <v>30.0</v>
      </c>
      <c r="F12" s="32" t="s">
        <v>224</v>
      </c>
      <c r="G12" s="7"/>
      <c r="H12" s="7"/>
      <c r="I12" s="7"/>
      <c r="J12" s="7"/>
      <c r="K12" s="7"/>
      <c r="L12" s="29"/>
      <c r="M12" s="5"/>
      <c r="N12" s="29"/>
      <c r="O12" s="29"/>
      <c r="P12" s="29"/>
      <c r="Q12" s="29"/>
      <c r="R12" s="29"/>
      <c r="S12" s="29"/>
      <c r="T12" s="29"/>
      <c r="U12" s="29"/>
      <c r="V12" s="29"/>
      <c r="W12" s="29"/>
      <c r="X12" s="29"/>
      <c r="Y12" s="29"/>
      <c r="Z12" s="29"/>
      <c r="AA12" s="29"/>
      <c r="AB12" s="29"/>
      <c r="AC12" s="29"/>
      <c r="AD12" s="29"/>
      <c r="AE12" s="29"/>
    </row>
    <row r="13">
      <c r="A13" s="7" t="s">
        <v>225</v>
      </c>
      <c r="B13" s="7" t="s">
        <v>190</v>
      </c>
      <c r="C13" s="7" t="s">
        <v>191</v>
      </c>
      <c r="D13" s="7" t="s">
        <v>32</v>
      </c>
      <c r="E13" s="23">
        <v>30.0</v>
      </c>
      <c r="F13" s="7" t="s">
        <v>226</v>
      </c>
      <c r="G13" s="23" t="s">
        <v>227</v>
      </c>
      <c r="H13" s="7"/>
      <c r="I13" s="7" t="s">
        <v>228</v>
      </c>
      <c r="J13" s="7"/>
      <c r="K13" s="7"/>
      <c r="L13" s="29"/>
      <c r="M13" s="5"/>
      <c r="N13" s="29"/>
      <c r="O13" s="29"/>
      <c r="P13" s="29"/>
      <c r="Q13" s="29"/>
      <c r="R13" s="29"/>
      <c r="S13" s="29"/>
      <c r="T13" s="29"/>
      <c r="U13" s="29"/>
      <c r="V13" s="29"/>
      <c r="W13" s="29"/>
      <c r="X13" s="29"/>
      <c r="Y13" s="29"/>
      <c r="Z13" s="29"/>
      <c r="AA13" s="29"/>
      <c r="AB13" s="29"/>
      <c r="AC13" s="29"/>
      <c r="AD13" s="29"/>
      <c r="AE13" s="29"/>
    </row>
    <row r="14">
      <c r="A14" s="7" t="s">
        <v>229</v>
      </c>
      <c r="B14" s="7" t="s">
        <v>190</v>
      </c>
      <c r="C14" s="7" t="s">
        <v>191</v>
      </c>
      <c r="D14" s="7" t="s">
        <v>33</v>
      </c>
      <c r="E14" s="23">
        <v>30.0</v>
      </c>
      <c r="F14" s="7" t="s">
        <v>230</v>
      </c>
      <c r="G14" s="7"/>
      <c r="H14" s="7"/>
      <c r="I14" s="7"/>
      <c r="J14" s="7"/>
      <c r="K14" s="7"/>
      <c r="L14" s="29"/>
      <c r="M14" s="5"/>
      <c r="N14" s="29"/>
      <c r="O14" s="29"/>
      <c r="P14" s="29"/>
      <c r="Q14" s="29"/>
      <c r="R14" s="29"/>
      <c r="S14" s="29"/>
      <c r="T14" s="29"/>
      <c r="U14" s="29"/>
      <c r="V14" s="29"/>
      <c r="W14" s="29"/>
      <c r="X14" s="29"/>
      <c r="Y14" s="29"/>
      <c r="Z14" s="29"/>
      <c r="AA14" s="29"/>
      <c r="AB14" s="29"/>
      <c r="AC14" s="29"/>
      <c r="AD14" s="29"/>
      <c r="AE14" s="29"/>
    </row>
    <row r="15">
      <c r="A15" s="7" t="s">
        <v>231</v>
      </c>
      <c r="B15" s="7" t="s">
        <v>190</v>
      </c>
      <c r="C15" s="7" t="s">
        <v>191</v>
      </c>
      <c r="D15" s="7" t="s">
        <v>34</v>
      </c>
      <c r="E15" s="23">
        <v>30.0</v>
      </c>
      <c r="F15" s="32" t="s">
        <v>232</v>
      </c>
      <c r="G15" s="7"/>
      <c r="H15" s="7"/>
      <c r="I15" s="7"/>
      <c r="J15" s="7"/>
      <c r="K15" s="7"/>
      <c r="L15" s="29"/>
      <c r="M15" s="5"/>
      <c r="N15" s="29"/>
      <c r="O15" s="29"/>
      <c r="P15" s="29"/>
      <c r="Q15" s="29"/>
      <c r="R15" s="29"/>
      <c r="S15" s="29"/>
      <c r="T15" s="29"/>
      <c r="U15" s="29"/>
      <c r="V15" s="29"/>
      <c r="W15" s="29"/>
      <c r="X15" s="29"/>
      <c r="Y15" s="29"/>
      <c r="Z15" s="29"/>
      <c r="AA15" s="29"/>
      <c r="AB15" s="29"/>
      <c r="AC15" s="29"/>
      <c r="AD15" s="29"/>
      <c r="AE15" s="29"/>
    </row>
    <row r="16">
      <c r="A16" s="7" t="s">
        <v>233</v>
      </c>
      <c r="B16" s="7" t="s">
        <v>190</v>
      </c>
      <c r="C16" s="7" t="s">
        <v>191</v>
      </c>
      <c r="D16" s="7" t="s">
        <v>35</v>
      </c>
      <c r="E16" s="23">
        <v>30.0</v>
      </c>
      <c r="F16" s="7" t="s">
        <v>234</v>
      </c>
      <c r="G16" s="7"/>
      <c r="H16" s="7"/>
      <c r="I16" s="7"/>
      <c r="J16" s="7"/>
      <c r="K16" s="7"/>
      <c r="L16" s="29"/>
      <c r="M16" s="5"/>
      <c r="N16" s="29"/>
      <c r="O16" s="29"/>
      <c r="P16" s="29"/>
      <c r="Q16" s="29"/>
      <c r="R16" s="29"/>
      <c r="S16" s="29"/>
      <c r="T16" s="29"/>
      <c r="U16" s="29"/>
      <c r="V16" s="29"/>
      <c r="W16" s="29"/>
      <c r="X16" s="29"/>
      <c r="Y16" s="29"/>
      <c r="Z16" s="29"/>
      <c r="AA16" s="29"/>
      <c r="AB16" s="29"/>
      <c r="AC16" s="29"/>
      <c r="AD16" s="29"/>
      <c r="AE16" s="29"/>
    </row>
    <row r="17">
      <c r="A17" s="7" t="s">
        <v>235</v>
      </c>
      <c r="B17" s="7" t="s">
        <v>190</v>
      </c>
      <c r="C17" s="7" t="s">
        <v>191</v>
      </c>
      <c r="D17" s="7" t="s">
        <v>21</v>
      </c>
      <c r="E17" s="23">
        <v>30.0</v>
      </c>
      <c r="F17" s="7" t="s">
        <v>236</v>
      </c>
      <c r="G17" s="7"/>
      <c r="H17" s="7"/>
      <c r="I17" s="7"/>
      <c r="J17" s="7"/>
      <c r="K17" s="7"/>
      <c r="L17" s="29"/>
      <c r="M17" s="5"/>
      <c r="N17" s="29"/>
      <c r="O17" s="29"/>
      <c r="P17" s="29"/>
      <c r="Q17" s="29"/>
      <c r="R17" s="29"/>
      <c r="S17" s="29"/>
      <c r="T17" s="29"/>
      <c r="U17" s="29"/>
      <c r="V17" s="29"/>
      <c r="W17" s="29"/>
      <c r="X17" s="29"/>
      <c r="Y17" s="29"/>
      <c r="Z17" s="29"/>
      <c r="AA17" s="29"/>
      <c r="AB17" s="29"/>
      <c r="AC17" s="29"/>
      <c r="AD17" s="29"/>
      <c r="AE17" s="29"/>
    </row>
    <row r="18">
      <c r="A18" s="7" t="s">
        <v>237</v>
      </c>
      <c r="B18" s="7" t="s">
        <v>238</v>
      </c>
      <c r="C18" s="7" t="s">
        <v>239</v>
      </c>
      <c r="D18" s="7" t="s">
        <v>92</v>
      </c>
      <c r="E18" s="23">
        <v>26.0</v>
      </c>
      <c r="F18" s="7" t="s">
        <v>240</v>
      </c>
      <c r="G18" s="34" t="s">
        <v>241</v>
      </c>
      <c r="H18" s="7"/>
      <c r="I18" s="7" t="s">
        <v>242</v>
      </c>
      <c r="J18" s="7" t="s">
        <v>243</v>
      </c>
      <c r="K18" s="7"/>
      <c r="L18" s="29"/>
      <c r="M18" s="5"/>
      <c r="N18" s="29"/>
      <c r="O18" s="29"/>
      <c r="P18" s="29"/>
      <c r="Q18" s="29"/>
      <c r="R18" s="29"/>
      <c r="S18" s="29"/>
      <c r="T18" s="29"/>
      <c r="U18" s="29"/>
      <c r="V18" s="29"/>
      <c r="W18" s="29"/>
      <c r="X18" s="29"/>
      <c r="Y18" s="29"/>
      <c r="Z18" s="29"/>
      <c r="AA18" s="29"/>
      <c r="AB18" s="29"/>
      <c r="AC18" s="29"/>
      <c r="AD18" s="29"/>
      <c r="AE18" s="29"/>
    </row>
    <row r="19">
      <c r="A19" s="7" t="s">
        <v>244</v>
      </c>
      <c r="B19" s="7" t="s">
        <v>190</v>
      </c>
      <c r="C19" s="7" t="s">
        <v>191</v>
      </c>
      <c r="D19" s="7" t="s">
        <v>64</v>
      </c>
      <c r="E19" s="23">
        <v>30.0</v>
      </c>
      <c r="F19" s="7" t="s">
        <v>245</v>
      </c>
      <c r="G19" s="7" t="s">
        <v>246</v>
      </c>
      <c r="H19" s="7"/>
      <c r="I19" s="7" t="s">
        <v>205</v>
      </c>
      <c r="J19" s="7"/>
      <c r="K19" s="7"/>
      <c r="L19" s="29"/>
      <c r="M19" s="5"/>
      <c r="N19" s="29"/>
      <c r="O19" s="29"/>
      <c r="P19" s="29"/>
      <c r="Q19" s="29"/>
      <c r="R19" s="29"/>
      <c r="S19" s="29"/>
      <c r="T19" s="29"/>
      <c r="U19" s="29"/>
      <c r="V19" s="29"/>
      <c r="W19" s="29"/>
      <c r="X19" s="29"/>
      <c r="Y19" s="29"/>
      <c r="Z19" s="29"/>
      <c r="AA19" s="29"/>
      <c r="AB19" s="29"/>
      <c r="AC19" s="29"/>
      <c r="AD19" s="29"/>
      <c r="AE19" s="29"/>
    </row>
    <row r="20">
      <c r="A20" s="7" t="s">
        <v>247</v>
      </c>
      <c r="B20" s="7" t="s">
        <v>190</v>
      </c>
      <c r="C20" s="7" t="s">
        <v>191</v>
      </c>
      <c r="D20" s="7" t="s">
        <v>64</v>
      </c>
      <c r="E20" s="23">
        <v>36.0</v>
      </c>
      <c r="F20" s="7" t="s">
        <v>248</v>
      </c>
      <c r="G20" s="7" t="s">
        <v>249</v>
      </c>
      <c r="H20" s="7"/>
      <c r="I20" s="7" t="s">
        <v>250</v>
      </c>
      <c r="J20" s="7"/>
      <c r="K20" s="7"/>
      <c r="L20" s="29"/>
      <c r="M20" s="5"/>
      <c r="N20" s="29"/>
      <c r="O20" s="29"/>
      <c r="P20" s="29"/>
      <c r="Q20" s="29"/>
      <c r="R20" s="29"/>
      <c r="S20" s="29"/>
      <c r="T20" s="29"/>
      <c r="U20" s="29"/>
      <c r="V20" s="29"/>
      <c r="W20" s="29"/>
      <c r="X20" s="29"/>
      <c r="Y20" s="29"/>
      <c r="Z20" s="29"/>
      <c r="AA20" s="29"/>
      <c r="AB20" s="29"/>
      <c r="AC20" s="29"/>
      <c r="AD20" s="29"/>
      <c r="AE20" s="29"/>
    </row>
    <row r="21">
      <c r="A21" s="7" t="s">
        <v>251</v>
      </c>
      <c r="B21" s="7" t="s">
        <v>190</v>
      </c>
      <c r="C21" s="7" t="s">
        <v>191</v>
      </c>
      <c r="D21" s="7" t="s">
        <v>81</v>
      </c>
      <c r="E21" s="23">
        <v>36.0</v>
      </c>
      <c r="F21" s="7" t="s">
        <v>252</v>
      </c>
      <c r="G21" s="7"/>
      <c r="H21" s="7"/>
      <c r="I21" s="7"/>
      <c r="J21" s="7" t="s">
        <v>253</v>
      </c>
      <c r="K21" s="7"/>
      <c r="L21" s="29"/>
      <c r="M21" s="5"/>
      <c r="N21" s="29"/>
      <c r="O21" s="29"/>
      <c r="P21" s="29"/>
      <c r="Q21" s="29"/>
      <c r="R21" s="29"/>
      <c r="S21" s="29"/>
      <c r="T21" s="29"/>
      <c r="U21" s="29"/>
      <c r="V21" s="29"/>
      <c r="W21" s="29"/>
      <c r="X21" s="29"/>
      <c r="Y21" s="29"/>
      <c r="Z21" s="29"/>
      <c r="AA21" s="29"/>
      <c r="AB21" s="29"/>
      <c r="AC21" s="29"/>
      <c r="AD21" s="29"/>
      <c r="AE21" s="29"/>
    </row>
    <row r="22">
      <c r="A22" s="7" t="s">
        <v>254</v>
      </c>
      <c r="B22" s="7" t="s">
        <v>190</v>
      </c>
      <c r="C22" s="7" t="s">
        <v>191</v>
      </c>
      <c r="D22" s="7" t="s">
        <v>30</v>
      </c>
      <c r="E22" s="23">
        <v>30.0</v>
      </c>
      <c r="F22" s="7" t="s">
        <v>255</v>
      </c>
      <c r="G22" s="7"/>
      <c r="H22" s="7"/>
      <c r="I22" s="7"/>
      <c r="J22" s="7"/>
      <c r="K22" s="7"/>
      <c r="L22" s="29"/>
      <c r="M22" s="5"/>
      <c r="N22" s="29"/>
      <c r="O22" s="29"/>
      <c r="P22" s="29"/>
      <c r="Q22" s="29"/>
      <c r="R22" s="29"/>
      <c r="S22" s="29"/>
      <c r="T22" s="29"/>
      <c r="U22" s="29"/>
      <c r="V22" s="29"/>
      <c r="W22" s="29"/>
      <c r="X22" s="29"/>
      <c r="Y22" s="29"/>
      <c r="Z22" s="29"/>
      <c r="AA22" s="29"/>
      <c r="AB22" s="29"/>
      <c r="AC22" s="29"/>
      <c r="AD22" s="29"/>
      <c r="AE22" s="29"/>
    </row>
    <row r="23">
      <c r="A23" s="7" t="s">
        <v>256</v>
      </c>
      <c r="B23" s="7" t="s">
        <v>190</v>
      </c>
      <c r="C23" s="7" t="s">
        <v>191</v>
      </c>
      <c r="D23" s="7" t="s">
        <v>37</v>
      </c>
      <c r="E23" s="23">
        <v>30.0</v>
      </c>
      <c r="F23" s="7" t="s">
        <v>257</v>
      </c>
      <c r="G23" s="7"/>
      <c r="H23" s="7"/>
      <c r="I23" s="7"/>
      <c r="J23" s="7" t="s">
        <v>258</v>
      </c>
      <c r="K23" s="7"/>
      <c r="L23" s="29"/>
      <c r="M23" s="5"/>
      <c r="N23" s="29"/>
      <c r="O23" s="29"/>
      <c r="P23" s="29"/>
      <c r="Q23" s="29"/>
      <c r="R23" s="29"/>
      <c r="S23" s="29"/>
      <c r="T23" s="29"/>
      <c r="U23" s="29"/>
      <c r="V23" s="29"/>
      <c r="W23" s="29"/>
      <c r="X23" s="29"/>
      <c r="Y23" s="29"/>
      <c r="Z23" s="29"/>
      <c r="AA23" s="29"/>
      <c r="AB23" s="29"/>
      <c r="AC23" s="29"/>
      <c r="AD23" s="29"/>
      <c r="AE23" s="29"/>
    </row>
    <row r="24">
      <c r="A24" s="7" t="s">
        <v>259</v>
      </c>
      <c r="B24" s="7" t="s">
        <v>190</v>
      </c>
      <c r="C24" s="7" t="s">
        <v>191</v>
      </c>
      <c r="D24" s="7" t="s">
        <v>40</v>
      </c>
      <c r="E24" s="23">
        <v>30.0</v>
      </c>
      <c r="F24" s="32" t="s">
        <v>260</v>
      </c>
      <c r="G24" s="7"/>
      <c r="H24" s="7"/>
      <c r="I24" s="7"/>
      <c r="J24" s="7" t="s">
        <v>261</v>
      </c>
      <c r="K24" s="7"/>
      <c r="L24" s="29"/>
      <c r="M24" s="5"/>
      <c r="N24" s="29"/>
      <c r="O24" s="29"/>
      <c r="P24" s="29"/>
      <c r="Q24" s="29"/>
      <c r="R24" s="29"/>
      <c r="S24" s="29"/>
      <c r="T24" s="29"/>
      <c r="U24" s="29"/>
      <c r="V24" s="29"/>
      <c r="W24" s="29"/>
      <c r="X24" s="29"/>
      <c r="Y24" s="29"/>
      <c r="Z24" s="29"/>
      <c r="AA24" s="29"/>
      <c r="AB24" s="29"/>
      <c r="AC24" s="29"/>
      <c r="AD24" s="29"/>
      <c r="AE24" s="29"/>
    </row>
    <row r="25">
      <c r="A25" s="7" t="s">
        <v>262</v>
      </c>
      <c r="B25" s="7" t="s">
        <v>190</v>
      </c>
      <c r="C25" s="7" t="s">
        <v>191</v>
      </c>
      <c r="D25" s="7" t="s">
        <v>42</v>
      </c>
      <c r="E25" s="23">
        <v>30.0</v>
      </c>
      <c r="F25" s="7" t="s">
        <v>263</v>
      </c>
      <c r="G25" s="7"/>
      <c r="H25" s="7"/>
      <c r="I25" s="7"/>
      <c r="J25" s="7" t="s">
        <v>264</v>
      </c>
      <c r="K25" s="7"/>
      <c r="L25" s="29"/>
      <c r="M25" s="5"/>
      <c r="N25" s="29"/>
      <c r="O25" s="29"/>
      <c r="P25" s="29"/>
      <c r="Q25" s="29"/>
      <c r="R25" s="29"/>
      <c r="S25" s="29"/>
      <c r="T25" s="29"/>
      <c r="U25" s="29"/>
      <c r="V25" s="29"/>
      <c r="W25" s="29"/>
      <c r="X25" s="29"/>
      <c r="Y25" s="29"/>
      <c r="Z25" s="29"/>
      <c r="AA25" s="29"/>
      <c r="AB25" s="29"/>
      <c r="AC25" s="29"/>
      <c r="AD25" s="29"/>
      <c r="AE25" s="29"/>
    </row>
    <row r="26">
      <c r="A26" s="7" t="s">
        <v>265</v>
      </c>
      <c r="B26" s="7" t="s">
        <v>190</v>
      </c>
      <c r="C26" s="7" t="s">
        <v>191</v>
      </c>
      <c r="D26" s="7" t="s">
        <v>43</v>
      </c>
      <c r="E26" s="23">
        <v>30.0</v>
      </c>
      <c r="F26" s="7" t="s">
        <v>266</v>
      </c>
      <c r="G26" s="7"/>
      <c r="H26" s="7"/>
      <c r="I26" s="7"/>
      <c r="J26" s="7"/>
      <c r="K26" s="7"/>
      <c r="L26" s="29"/>
      <c r="M26" s="5"/>
      <c r="N26" s="29"/>
      <c r="O26" s="29"/>
      <c r="P26" s="29"/>
      <c r="Q26" s="29"/>
      <c r="R26" s="29"/>
      <c r="S26" s="29"/>
      <c r="T26" s="29"/>
      <c r="U26" s="29"/>
      <c r="V26" s="29"/>
      <c r="W26" s="29"/>
      <c r="X26" s="29"/>
      <c r="Y26" s="29"/>
      <c r="Z26" s="29"/>
      <c r="AA26" s="29"/>
      <c r="AB26" s="29"/>
      <c r="AC26" s="29"/>
      <c r="AD26" s="29"/>
      <c r="AE26" s="29"/>
    </row>
    <row r="27">
      <c r="A27" s="7" t="s">
        <v>267</v>
      </c>
      <c r="B27" s="7" t="s">
        <v>190</v>
      </c>
      <c r="C27" s="7" t="s">
        <v>191</v>
      </c>
      <c r="D27" s="7" t="s">
        <v>45</v>
      </c>
      <c r="E27" s="23">
        <v>30.0</v>
      </c>
      <c r="F27" s="7" t="s">
        <v>268</v>
      </c>
      <c r="G27" s="7"/>
      <c r="H27" s="7"/>
      <c r="I27" s="7"/>
      <c r="J27" s="7"/>
      <c r="K27" s="7"/>
      <c r="L27" s="29"/>
      <c r="M27" s="5"/>
      <c r="N27" s="29"/>
      <c r="O27" s="29"/>
      <c r="P27" s="29"/>
      <c r="Q27" s="29"/>
      <c r="R27" s="29"/>
      <c r="S27" s="29"/>
      <c r="T27" s="29"/>
      <c r="U27" s="29"/>
      <c r="V27" s="29"/>
      <c r="W27" s="29"/>
      <c r="X27" s="29"/>
      <c r="Y27" s="29"/>
      <c r="Z27" s="29"/>
      <c r="AA27" s="29"/>
      <c r="AB27" s="29"/>
      <c r="AC27" s="29"/>
      <c r="AD27" s="29"/>
      <c r="AE27" s="29"/>
    </row>
    <row r="28">
      <c r="A28" s="7" t="s">
        <v>269</v>
      </c>
      <c r="B28" s="7" t="s">
        <v>190</v>
      </c>
      <c r="C28" s="7" t="s">
        <v>191</v>
      </c>
      <c r="D28" s="7" t="s">
        <v>46</v>
      </c>
      <c r="E28" s="23">
        <v>30.0</v>
      </c>
      <c r="F28" s="7" t="s">
        <v>270</v>
      </c>
      <c r="G28" s="7"/>
      <c r="H28" s="7"/>
      <c r="I28" s="7"/>
      <c r="J28" s="7" t="s">
        <v>271</v>
      </c>
      <c r="K28" s="7"/>
      <c r="L28" s="29"/>
      <c r="M28" s="5"/>
      <c r="N28" s="29"/>
      <c r="O28" s="29"/>
      <c r="P28" s="29"/>
      <c r="Q28" s="29"/>
      <c r="R28" s="29"/>
      <c r="S28" s="29"/>
      <c r="T28" s="29"/>
      <c r="U28" s="29"/>
      <c r="V28" s="29"/>
      <c r="W28" s="29"/>
      <c r="X28" s="29"/>
      <c r="Y28" s="29"/>
      <c r="Z28" s="29"/>
      <c r="AA28" s="29"/>
      <c r="AB28" s="29"/>
      <c r="AC28" s="29"/>
      <c r="AD28" s="29"/>
      <c r="AE28" s="29"/>
    </row>
    <row r="29">
      <c r="A29" s="7" t="s">
        <v>272</v>
      </c>
      <c r="B29" s="7" t="s">
        <v>190</v>
      </c>
      <c r="C29" s="7" t="s">
        <v>191</v>
      </c>
      <c r="D29" s="7" t="s">
        <v>46</v>
      </c>
      <c r="E29" s="23">
        <v>30.0</v>
      </c>
      <c r="F29" s="7" t="s">
        <v>273</v>
      </c>
      <c r="G29" s="7"/>
      <c r="H29" s="7"/>
      <c r="I29" s="7"/>
      <c r="J29" s="7"/>
      <c r="K29" s="7"/>
      <c r="L29" s="29"/>
      <c r="M29" s="5"/>
      <c r="N29" s="29"/>
      <c r="O29" s="29"/>
      <c r="P29" s="29"/>
      <c r="Q29" s="29"/>
      <c r="R29" s="29"/>
      <c r="S29" s="29"/>
      <c r="T29" s="29"/>
      <c r="U29" s="29"/>
      <c r="V29" s="29"/>
      <c r="W29" s="29"/>
      <c r="X29" s="29"/>
      <c r="Y29" s="29"/>
      <c r="Z29" s="29"/>
      <c r="AA29" s="29"/>
      <c r="AB29" s="29"/>
      <c r="AC29" s="29"/>
      <c r="AD29" s="29"/>
      <c r="AE29" s="29"/>
    </row>
    <row r="30">
      <c r="A30" s="7" t="s">
        <v>274</v>
      </c>
      <c r="B30" s="7" t="s">
        <v>190</v>
      </c>
      <c r="C30" s="7" t="s">
        <v>191</v>
      </c>
      <c r="D30" s="7" t="s">
        <v>52</v>
      </c>
      <c r="E30" s="23">
        <v>34.0</v>
      </c>
      <c r="F30" s="7" t="s">
        <v>273</v>
      </c>
      <c r="G30" s="7"/>
      <c r="H30" s="7"/>
      <c r="I30" s="7"/>
      <c r="J30" s="7"/>
      <c r="K30" s="7"/>
      <c r="L30" s="29"/>
      <c r="M30" s="5"/>
      <c r="N30" s="29"/>
      <c r="O30" s="29"/>
      <c r="P30" s="29"/>
      <c r="Q30" s="29"/>
      <c r="R30" s="29"/>
      <c r="S30" s="29"/>
      <c r="T30" s="29"/>
      <c r="U30" s="29"/>
      <c r="V30" s="29"/>
      <c r="W30" s="29"/>
      <c r="X30" s="29"/>
      <c r="Y30" s="29"/>
      <c r="Z30" s="29"/>
      <c r="AA30" s="29"/>
      <c r="AB30" s="29"/>
      <c r="AC30" s="29"/>
      <c r="AD30" s="29"/>
      <c r="AE30" s="29"/>
    </row>
    <row r="31">
      <c r="A31" s="7" t="s">
        <v>275</v>
      </c>
      <c r="B31" s="7" t="s">
        <v>190</v>
      </c>
      <c r="C31" s="7" t="s">
        <v>191</v>
      </c>
      <c r="D31" s="7" t="s">
        <v>62</v>
      </c>
      <c r="E31" s="23">
        <v>30.0</v>
      </c>
      <c r="F31" s="7" t="s">
        <v>276</v>
      </c>
      <c r="G31" s="7"/>
      <c r="H31" s="7"/>
      <c r="I31" s="7"/>
      <c r="J31" s="7"/>
      <c r="K31" s="7"/>
      <c r="L31" s="29"/>
      <c r="M31" s="5"/>
      <c r="N31" s="29"/>
      <c r="O31" s="29"/>
      <c r="P31" s="29"/>
      <c r="Q31" s="29"/>
      <c r="R31" s="29"/>
      <c r="S31" s="29"/>
      <c r="T31" s="29"/>
      <c r="U31" s="29"/>
      <c r="V31" s="29"/>
      <c r="W31" s="29"/>
      <c r="X31" s="29"/>
      <c r="Y31" s="29"/>
      <c r="Z31" s="29"/>
      <c r="AA31" s="29"/>
      <c r="AB31" s="29"/>
      <c r="AC31" s="29"/>
      <c r="AD31" s="29"/>
      <c r="AE31" s="29"/>
    </row>
    <row r="32">
      <c r="A32" s="7" t="s">
        <v>275</v>
      </c>
      <c r="B32" s="7" t="s">
        <v>190</v>
      </c>
      <c r="C32" s="7" t="s">
        <v>191</v>
      </c>
      <c r="D32" s="7" t="s">
        <v>57</v>
      </c>
      <c r="E32" s="23">
        <v>30.0</v>
      </c>
      <c r="F32" s="7" t="s">
        <v>277</v>
      </c>
      <c r="G32" s="7"/>
      <c r="H32" s="7"/>
      <c r="I32" s="7"/>
      <c r="J32" s="7"/>
      <c r="K32" s="7"/>
      <c r="L32" s="29"/>
      <c r="M32" s="5"/>
      <c r="N32" s="29"/>
      <c r="O32" s="29"/>
      <c r="P32" s="29"/>
      <c r="Q32" s="29"/>
      <c r="R32" s="29"/>
      <c r="S32" s="29"/>
      <c r="T32" s="29"/>
      <c r="U32" s="29"/>
      <c r="V32" s="29"/>
      <c r="W32" s="29"/>
      <c r="X32" s="29"/>
      <c r="Y32" s="29"/>
      <c r="Z32" s="29"/>
      <c r="AA32" s="29"/>
      <c r="AB32" s="29"/>
      <c r="AC32" s="29"/>
      <c r="AD32" s="29"/>
      <c r="AE32" s="29"/>
    </row>
    <row r="33">
      <c r="A33" s="7" t="s">
        <v>278</v>
      </c>
      <c r="B33" s="7" t="s">
        <v>190</v>
      </c>
      <c r="C33" s="7" t="s">
        <v>191</v>
      </c>
      <c r="D33" s="7" t="s">
        <v>63</v>
      </c>
      <c r="E33" s="23">
        <v>30.0</v>
      </c>
      <c r="F33" s="7" t="s">
        <v>279</v>
      </c>
      <c r="G33" s="7"/>
      <c r="H33" s="7"/>
      <c r="I33" s="7"/>
      <c r="J33" s="7"/>
      <c r="K33" s="7"/>
      <c r="L33" s="29"/>
      <c r="M33" s="5"/>
      <c r="N33" s="29"/>
      <c r="O33" s="29"/>
      <c r="P33" s="29"/>
      <c r="Q33" s="29"/>
      <c r="R33" s="29"/>
      <c r="S33" s="29"/>
      <c r="T33" s="29"/>
      <c r="U33" s="29"/>
      <c r="V33" s="29"/>
      <c r="W33" s="29"/>
      <c r="X33" s="29"/>
      <c r="Y33" s="29"/>
      <c r="Z33" s="29"/>
      <c r="AA33" s="29"/>
      <c r="AB33" s="29"/>
      <c r="AC33" s="29"/>
      <c r="AD33" s="29"/>
      <c r="AE33" s="29"/>
    </row>
    <row r="34">
      <c r="A34" s="7" t="s">
        <v>280</v>
      </c>
      <c r="B34" s="7" t="s">
        <v>238</v>
      </c>
      <c r="C34" s="7" t="s">
        <v>191</v>
      </c>
      <c r="D34" s="7" t="s">
        <v>96</v>
      </c>
      <c r="E34" s="23">
        <v>24.0</v>
      </c>
      <c r="F34" s="7" t="s">
        <v>281</v>
      </c>
      <c r="G34" s="7"/>
      <c r="H34" s="7"/>
      <c r="I34" s="7"/>
      <c r="J34" s="7"/>
      <c r="K34" s="7"/>
      <c r="L34" s="29"/>
      <c r="M34" s="5"/>
      <c r="N34" s="29"/>
      <c r="O34" s="29"/>
      <c r="P34" s="29"/>
      <c r="Q34" s="29"/>
      <c r="R34" s="29"/>
      <c r="S34" s="29"/>
      <c r="T34" s="29"/>
      <c r="U34" s="29"/>
      <c r="V34" s="29"/>
      <c r="W34" s="29"/>
      <c r="X34" s="29"/>
      <c r="Y34" s="29"/>
      <c r="Z34" s="29"/>
      <c r="AA34" s="29"/>
      <c r="AB34" s="29"/>
      <c r="AC34" s="29"/>
      <c r="AD34" s="29"/>
      <c r="AE34" s="29"/>
    </row>
    <row r="35">
      <c r="A35" s="7" t="s">
        <v>282</v>
      </c>
      <c r="B35" s="7" t="s">
        <v>190</v>
      </c>
      <c r="C35" s="7" t="s">
        <v>191</v>
      </c>
      <c r="D35" s="7" t="s">
        <v>51</v>
      </c>
      <c r="E35" s="23">
        <v>30.0</v>
      </c>
      <c r="F35" s="7" t="s">
        <v>283</v>
      </c>
      <c r="G35" s="7"/>
      <c r="H35" s="7"/>
      <c r="I35" s="7"/>
      <c r="J35" s="7"/>
      <c r="K35" s="7"/>
      <c r="L35" s="29"/>
      <c r="M35" s="5"/>
      <c r="N35" s="29"/>
      <c r="O35" s="29"/>
      <c r="P35" s="29"/>
      <c r="Q35" s="29"/>
      <c r="R35" s="29"/>
      <c r="S35" s="29"/>
      <c r="T35" s="29"/>
      <c r="U35" s="29"/>
      <c r="V35" s="29"/>
      <c r="W35" s="29"/>
      <c r="X35" s="29"/>
      <c r="Y35" s="29"/>
      <c r="Z35" s="29"/>
      <c r="AA35" s="29"/>
      <c r="AB35" s="29"/>
      <c r="AC35" s="29"/>
      <c r="AD35" s="29"/>
      <c r="AE35" s="29"/>
    </row>
    <row r="36">
      <c r="A36" s="7" t="s">
        <v>284</v>
      </c>
      <c r="B36" s="7" t="s">
        <v>190</v>
      </c>
      <c r="C36" s="7" t="s">
        <v>191</v>
      </c>
      <c r="D36" s="7" t="s">
        <v>66</v>
      </c>
      <c r="E36" s="23">
        <v>30.0</v>
      </c>
      <c r="F36" s="7" t="s">
        <v>285</v>
      </c>
      <c r="G36" s="7"/>
      <c r="H36" s="7"/>
      <c r="I36" s="7"/>
      <c r="J36" s="7"/>
      <c r="K36" s="7"/>
      <c r="L36" s="29"/>
      <c r="M36" s="5"/>
      <c r="N36" s="29"/>
      <c r="O36" s="29"/>
      <c r="P36" s="29"/>
      <c r="Q36" s="29"/>
      <c r="R36" s="29"/>
      <c r="S36" s="29"/>
      <c r="T36" s="29"/>
      <c r="U36" s="29"/>
      <c r="V36" s="29"/>
      <c r="W36" s="29"/>
      <c r="X36" s="29"/>
      <c r="Y36" s="29"/>
      <c r="Z36" s="29"/>
      <c r="AA36" s="29"/>
      <c r="AB36" s="29"/>
      <c r="AC36" s="29"/>
      <c r="AD36" s="29"/>
      <c r="AE36" s="29"/>
    </row>
    <row r="37">
      <c r="A37" s="7" t="s">
        <v>286</v>
      </c>
      <c r="B37" s="7" t="s">
        <v>190</v>
      </c>
      <c r="C37" s="7" t="s">
        <v>191</v>
      </c>
      <c r="D37" s="7" t="s">
        <v>59</v>
      </c>
      <c r="E37" s="23">
        <v>30.0</v>
      </c>
      <c r="F37" s="7" t="s">
        <v>287</v>
      </c>
      <c r="G37" s="7"/>
      <c r="H37" s="7"/>
      <c r="I37" s="7"/>
      <c r="J37" s="7"/>
      <c r="K37" s="7"/>
      <c r="L37" s="29"/>
      <c r="M37" s="5"/>
      <c r="N37" s="29"/>
      <c r="O37" s="29"/>
      <c r="P37" s="29"/>
      <c r="Q37" s="29"/>
      <c r="R37" s="29"/>
      <c r="S37" s="29"/>
      <c r="T37" s="29"/>
      <c r="U37" s="29"/>
      <c r="V37" s="29"/>
      <c r="W37" s="29"/>
      <c r="X37" s="29"/>
      <c r="Y37" s="29"/>
      <c r="Z37" s="29"/>
      <c r="AA37" s="29"/>
      <c r="AB37" s="29"/>
      <c r="AC37" s="29"/>
      <c r="AD37" s="29"/>
      <c r="AE37" s="29"/>
    </row>
    <row r="38">
      <c r="A38" s="7" t="s">
        <v>288</v>
      </c>
      <c r="B38" s="7" t="s">
        <v>190</v>
      </c>
      <c r="C38" s="7" t="s">
        <v>191</v>
      </c>
      <c r="D38" s="7" t="s">
        <v>69</v>
      </c>
      <c r="E38" s="23">
        <v>30.0</v>
      </c>
      <c r="F38" s="7" t="s">
        <v>289</v>
      </c>
      <c r="G38" s="7"/>
      <c r="H38" s="7"/>
      <c r="I38" s="7"/>
      <c r="J38" s="7" t="s">
        <v>290</v>
      </c>
      <c r="K38" s="7"/>
      <c r="L38" s="29"/>
      <c r="M38" s="5"/>
      <c r="N38" s="29"/>
      <c r="O38" s="29"/>
      <c r="P38" s="29"/>
      <c r="Q38" s="29"/>
      <c r="R38" s="29"/>
      <c r="S38" s="29"/>
      <c r="T38" s="29"/>
      <c r="U38" s="29"/>
      <c r="V38" s="29"/>
      <c r="W38" s="29"/>
      <c r="X38" s="29"/>
      <c r="Y38" s="29"/>
      <c r="Z38" s="29"/>
      <c r="AA38" s="29"/>
      <c r="AB38" s="29"/>
      <c r="AC38" s="29"/>
      <c r="AD38" s="29"/>
      <c r="AE38" s="29"/>
    </row>
    <row r="39">
      <c r="A39" s="7" t="s">
        <v>291</v>
      </c>
      <c r="B39" s="7" t="s">
        <v>190</v>
      </c>
      <c r="C39" s="7" t="s">
        <v>191</v>
      </c>
      <c r="D39" s="7" t="s">
        <v>70</v>
      </c>
      <c r="E39" s="23">
        <v>30.0</v>
      </c>
      <c r="F39" s="7" t="s">
        <v>292</v>
      </c>
      <c r="G39" s="7"/>
      <c r="H39" s="7"/>
      <c r="I39" s="7"/>
      <c r="J39" s="7"/>
      <c r="K39" s="7"/>
      <c r="L39" s="29"/>
      <c r="M39" s="5"/>
      <c r="N39" s="29"/>
      <c r="O39" s="29"/>
      <c r="P39" s="29"/>
      <c r="Q39" s="29"/>
      <c r="R39" s="29"/>
      <c r="S39" s="29"/>
      <c r="T39" s="29"/>
      <c r="U39" s="29"/>
      <c r="V39" s="29"/>
      <c r="W39" s="29"/>
      <c r="X39" s="29"/>
      <c r="Y39" s="29"/>
      <c r="Z39" s="29"/>
      <c r="AA39" s="29"/>
      <c r="AB39" s="29"/>
      <c r="AC39" s="29"/>
      <c r="AD39" s="29"/>
      <c r="AE39" s="29"/>
    </row>
    <row r="40">
      <c r="A40" s="7" t="s">
        <v>293</v>
      </c>
      <c r="B40" s="7" t="s">
        <v>190</v>
      </c>
      <c r="C40" s="7" t="s">
        <v>191</v>
      </c>
      <c r="D40" s="7" t="s">
        <v>72</v>
      </c>
      <c r="E40" s="23">
        <v>30.0</v>
      </c>
      <c r="F40" s="7" t="s">
        <v>294</v>
      </c>
      <c r="G40" s="7"/>
      <c r="H40" s="7"/>
      <c r="I40" s="7"/>
      <c r="J40" s="7"/>
      <c r="K40" s="7"/>
      <c r="L40" s="29"/>
      <c r="M40" s="5"/>
      <c r="N40" s="29"/>
      <c r="O40" s="29"/>
      <c r="P40" s="29"/>
      <c r="Q40" s="29"/>
      <c r="R40" s="29"/>
      <c r="S40" s="29"/>
      <c r="T40" s="29"/>
      <c r="U40" s="29"/>
      <c r="V40" s="29"/>
      <c r="W40" s="29"/>
      <c r="X40" s="29"/>
      <c r="Y40" s="29"/>
      <c r="Z40" s="29"/>
      <c r="AA40" s="29"/>
      <c r="AB40" s="29"/>
      <c r="AC40" s="29"/>
      <c r="AD40" s="29"/>
      <c r="AE40" s="29"/>
    </row>
    <row r="41">
      <c r="A41" s="7" t="s">
        <v>295</v>
      </c>
      <c r="B41" s="7" t="s">
        <v>190</v>
      </c>
      <c r="C41" s="7" t="s">
        <v>191</v>
      </c>
      <c r="D41" s="7" t="s">
        <v>83</v>
      </c>
      <c r="E41" s="23">
        <v>30.0</v>
      </c>
      <c r="F41" s="7" t="s">
        <v>296</v>
      </c>
      <c r="G41" s="7"/>
      <c r="H41" s="7"/>
      <c r="I41" s="7"/>
      <c r="J41" s="7"/>
      <c r="K41" s="7"/>
      <c r="L41" s="29"/>
      <c r="M41" s="5"/>
      <c r="N41" s="29"/>
      <c r="O41" s="29"/>
      <c r="P41" s="29"/>
      <c r="Q41" s="29"/>
      <c r="R41" s="29"/>
      <c r="S41" s="29"/>
      <c r="T41" s="29"/>
      <c r="U41" s="29"/>
      <c r="V41" s="29"/>
      <c r="W41" s="29"/>
      <c r="X41" s="29"/>
      <c r="Y41" s="29"/>
      <c r="Z41" s="29"/>
      <c r="AA41" s="29"/>
      <c r="AB41" s="29"/>
      <c r="AC41" s="29"/>
      <c r="AD41" s="29"/>
      <c r="AE41" s="29"/>
    </row>
    <row r="42">
      <c r="A42" s="7" t="s">
        <v>297</v>
      </c>
      <c r="B42" s="7" t="s">
        <v>190</v>
      </c>
      <c r="C42" s="7" t="s">
        <v>191</v>
      </c>
      <c r="D42" s="7" t="s">
        <v>74</v>
      </c>
      <c r="E42" s="23">
        <v>32.0</v>
      </c>
      <c r="F42" s="7" t="s">
        <v>298</v>
      </c>
      <c r="G42" s="7"/>
      <c r="H42" s="7"/>
      <c r="I42" s="7"/>
      <c r="J42" s="7"/>
      <c r="K42" s="7"/>
      <c r="L42" s="29"/>
      <c r="M42" s="5"/>
      <c r="N42" s="29"/>
      <c r="O42" s="29"/>
      <c r="P42" s="29"/>
      <c r="Q42" s="29"/>
      <c r="R42" s="29"/>
      <c r="S42" s="29"/>
      <c r="T42" s="29"/>
      <c r="U42" s="29"/>
      <c r="V42" s="29"/>
      <c r="W42" s="29"/>
      <c r="X42" s="29"/>
      <c r="Y42" s="29"/>
      <c r="Z42" s="29"/>
      <c r="AA42" s="29"/>
      <c r="AB42" s="29"/>
      <c r="AC42" s="29"/>
      <c r="AD42" s="29"/>
      <c r="AE42" s="29"/>
    </row>
    <row r="43">
      <c r="A43" s="23" t="s">
        <v>299</v>
      </c>
      <c r="B43" s="23" t="s">
        <v>190</v>
      </c>
      <c r="C43" s="23" t="s">
        <v>191</v>
      </c>
      <c r="D43" s="23" t="s">
        <v>76</v>
      </c>
      <c r="E43" s="23">
        <v>30.0</v>
      </c>
      <c r="F43" s="23" t="s">
        <v>300</v>
      </c>
      <c r="G43" s="23"/>
      <c r="H43" s="23"/>
      <c r="I43" s="23"/>
      <c r="J43" s="23"/>
      <c r="K43" s="23"/>
      <c r="L43" s="35"/>
      <c r="M43" s="36"/>
      <c r="N43" s="35"/>
      <c r="O43" s="35"/>
      <c r="P43" s="35"/>
      <c r="Q43" s="35"/>
      <c r="R43" s="35"/>
      <c r="S43" s="35"/>
      <c r="T43" s="35"/>
      <c r="U43" s="35"/>
      <c r="V43" s="35"/>
      <c r="W43" s="35"/>
      <c r="X43" s="35"/>
      <c r="Y43" s="35"/>
      <c r="Z43" s="35"/>
      <c r="AA43" s="35"/>
      <c r="AB43" s="35"/>
      <c r="AC43" s="35"/>
      <c r="AD43" s="35"/>
      <c r="AE43" s="35"/>
    </row>
    <row r="44">
      <c r="A44" s="7" t="s">
        <v>301</v>
      </c>
      <c r="B44" s="7" t="s">
        <v>238</v>
      </c>
      <c r="C44" s="7" t="s">
        <v>191</v>
      </c>
      <c r="D44" s="7" t="s">
        <v>100</v>
      </c>
      <c r="E44" s="23">
        <v>20.0</v>
      </c>
      <c r="F44" s="7" t="s">
        <v>302</v>
      </c>
      <c r="G44" s="7"/>
      <c r="H44" s="7"/>
      <c r="I44" s="7"/>
      <c r="J44" s="7"/>
      <c r="K44" s="7"/>
      <c r="L44" s="29"/>
      <c r="M44" s="5"/>
      <c r="N44" s="29"/>
      <c r="O44" s="29"/>
      <c r="P44" s="29"/>
      <c r="Q44" s="29"/>
      <c r="R44" s="29"/>
      <c r="S44" s="29"/>
      <c r="T44" s="29"/>
      <c r="U44" s="29"/>
      <c r="V44" s="29"/>
      <c r="W44" s="29"/>
      <c r="X44" s="29"/>
      <c r="Y44" s="29"/>
      <c r="Z44" s="29"/>
      <c r="AA44" s="29"/>
      <c r="AB44" s="29"/>
      <c r="AC44" s="29"/>
      <c r="AD44" s="29"/>
      <c r="AE44" s="29"/>
    </row>
    <row r="45">
      <c r="A45" s="7" t="s">
        <v>303</v>
      </c>
      <c r="B45" s="7" t="s">
        <v>190</v>
      </c>
      <c r="C45" s="7" t="s">
        <v>191</v>
      </c>
      <c r="D45" s="7" t="s">
        <v>78</v>
      </c>
      <c r="E45" s="23">
        <v>30.0</v>
      </c>
      <c r="F45" s="7" t="s">
        <v>304</v>
      </c>
      <c r="G45" s="7"/>
      <c r="H45" s="7"/>
      <c r="I45" s="7"/>
      <c r="J45" s="7"/>
      <c r="K45" s="7"/>
      <c r="L45" s="29"/>
      <c r="M45" s="5"/>
      <c r="N45" s="29"/>
      <c r="O45" s="29"/>
      <c r="P45" s="29"/>
      <c r="Q45" s="29"/>
      <c r="R45" s="29"/>
      <c r="S45" s="29"/>
      <c r="T45" s="29"/>
      <c r="U45" s="29"/>
      <c r="V45" s="29"/>
      <c r="W45" s="29"/>
      <c r="X45" s="29"/>
      <c r="Y45" s="29"/>
      <c r="Z45" s="29"/>
      <c r="AA45" s="29"/>
      <c r="AB45" s="29"/>
      <c r="AC45" s="29"/>
      <c r="AD45" s="29"/>
      <c r="AE45" s="29"/>
    </row>
    <row r="46">
      <c r="A46" s="7" t="s">
        <v>305</v>
      </c>
      <c r="B46" s="7" t="s">
        <v>238</v>
      </c>
      <c r="C46" s="7" t="s">
        <v>239</v>
      </c>
      <c r="D46" s="7" t="s">
        <v>98</v>
      </c>
      <c r="E46" s="23">
        <v>26.0</v>
      </c>
      <c r="F46" s="7" t="s">
        <v>306</v>
      </c>
      <c r="G46" s="7"/>
      <c r="H46" s="7"/>
      <c r="I46" s="7"/>
      <c r="J46" s="7" t="s">
        <v>307</v>
      </c>
      <c r="K46" s="7"/>
      <c r="L46" s="29"/>
      <c r="M46" s="5"/>
      <c r="N46" s="29"/>
      <c r="O46" s="29"/>
      <c r="P46" s="29"/>
      <c r="Q46" s="29"/>
      <c r="R46" s="29"/>
      <c r="S46" s="29"/>
      <c r="T46" s="29"/>
      <c r="U46" s="29"/>
      <c r="V46" s="29"/>
      <c r="W46" s="29"/>
      <c r="X46" s="29"/>
      <c r="Y46" s="29"/>
      <c r="Z46" s="29"/>
      <c r="AA46" s="29"/>
      <c r="AB46" s="29"/>
      <c r="AC46" s="29"/>
      <c r="AD46" s="29"/>
      <c r="AE46" s="29"/>
    </row>
    <row r="47">
      <c r="A47" s="7" t="s">
        <v>308</v>
      </c>
      <c r="B47" s="7" t="s">
        <v>238</v>
      </c>
      <c r="C47" s="7" t="s">
        <v>239</v>
      </c>
      <c r="D47" s="7" t="s">
        <v>102</v>
      </c>
      <c r="E47" s="23">
        <v>28.0</v>
      </c>
      <c r="F47" s="7" t="s">
        <v>309</v>
      </c>
      <c r="G47" s="7"/>
      <c r="H47" s="7"/>
      <c r="I47" s="7"/>
      <c r="J47" s="7" t="s">
        <v>310</v>
      </c>
      <c r="K47" s="7"/>
      <c r="L47" s="29"/>
      <c r="M47" s="5"/>
      <c r="N47" s="29"/>
      <c r="O47" s="29"/>
      <c r="P47" s="29"/>
      <c r="Q47" s="29"/>
      <c r="R47" s="29"/>
      <c r="S47" s="29"/>
      <c r="T47" s="29"/>
      <c r="U47" s="29"/>
      <c r="V47" s="29"/>
      <c r="W47" s="29"/>
      <c r="X47" s="29"/>
      <c r="Y47" s="29"/>
      <c r="Z47" s="29"/>
      <c r="AA47" s="29"/>
      <c r="AB47" s="29"/>
      <c r="AC47" s="29"/>
      <c r="AD47" s="29"/>
      <c r="AE47" s="29"/>
    </row>
    <row r="48">
      <c r="A48" s="7" t="s">
        <v>311</v>
      </c>
      <c r="B48" s="37" t="s">
        <v>238</v>
      </c>
      <c r="C48" s="37" t="s">
        <v>239</v>
      </c>
      <c r="D48" s="37" t="s">
        <v>104</v>
      </c>
      <c r="E48" s="38">
        <v>28.0</v>
      </c>
      <c r="F48" s="37" t="s">
        <v>312</v>
      </c>
      <c r="G48" s="7"/>
      <c r="H48" s="7"/>
      <c r="I48" s="7"/>
      <c r="J48" s="7"/>
      <c r="K48" s="7"/>
      <c r="L48" s="29"/>
      <c r="M48" s="5"/>
      <c r="N48" s="29"/>
      <c r="O48" s="29"/>
      <c r="P48" s="29"/>
      <c r="Q48" s="29"/>
      <c r="R48" s="29"/>
      <c r="S48" s="29"/>
      <c r="T48" s="29"/>
      <c r="U48" s="29"/>
      <c r="V48" s="29"/>
      <c r="W48" s="29"/>
      <c r="X48" s="29"/>
      <c r="Y48" s="29"/>
      <c r="Z48" s="29"/>
      <c r="AA48" s="29"/>
      <c r="AB48" s="29"/>
      <c r="AC48" s="29"/>
      <c r="AD48" s="29"/>
      <c r="AE48" s="29"/>
    </row>
    <row r="49">
      <c r="A49" s="7" t="s">
        <v>313</v>
      </c>
      <c r="B49" s="7" t="s">
        <v>238</v>
      </c>
      <c r="C49" s="7" t="s">
        <v>239</v>
      </c>
      <c r="D49" s="7" t="s">
        <v>106</v>
      </c>
      <c r="E49" s="23">
        <v>28.0</v>
      </c>
      <c r="F49" s="7" t="s">
        <v>314</v>
      </c>
      <c r="G49" s="7"/>
      <c r="H49" s="7"/>
      <c r="I49" s="7"/>
      <c r="J49" s="7" t="s">
        <v>315</v>
      </c>
      <c r="K49" s="7"/>
      <c r="L49" s="29"/>
      <c r="M49" s="5"/>
      <c r="N49" s="29"/>
      <c r="O49" s="29"/>
      <c r="P49" s="29"/>
      <c r="Q49" s="29"/>
      <c r="R49" s="29"/>
      <c r="S49" s="29"/>
      <c r="T49" s="29"/>
      <c r="U49" s="29"/>
      <c r="V49" s="29"/>
      <c r="W49" s="29"/>
      <c r="X49" s="29"/>
      <c r="Y49" s="29"/>
      <c r="Z49" s="29"/>
      <c r="AA49" s="29"/>
      <c r="AB49" s="29"/>
      <c r="AC49" s="29"/>
      <c r="AD49" s="29"/>
      <c r="AE49" s="29"/>
    </row>
    <row r="50">
      <c r="A50" s="7" t="s">
        <v>316</v>
      </c>
      <c r="B50" s="7" t="s">
        <v>238</v>
      </c>
      <c r="C50" s="7" t="s">
        <v>239</v>
      </c>
      <c r="D50" s="7" t="s">
        <v>108</v>
      </c>
      <c r="E50" s="23">
        <v>28.0</v>
      </c>
      <c r="F50" s="23" t="s">
        <v>317</v>
      </c>
      <c r="G50" s="7" t="s">
        <v>318</v>
      </c>
      <c r="H50" s="7"/>
      <c r="I50" s="7"/>
      <c r="J50" s="7"/>
      <c r="K50" s="7"/>
      <c r="L50" s="29"/>
      <c r="M50" s="5"/>
      <c r="N50" s="29"/>
      <c r="O50" s="29"/>
      <c r="P50" s="29"/>
      <c r="Q50" s="29"/>
      <c r="R50" s="29"/>
      <c r="S50" s="29"/>
      <c r="T50" s="29"/>
      <c r="U50" s="29"/>
      <c r="V50" s="29"/>
      <c r="W50" s="29"/>
      <c r="X50" s="29"/>
      <c r="Y50" s="29"/>
      <c r="Z50" s="29"/>
      <c r="AA50" s="29"/>
      <c r="AB50" s="29"/>
      <c r="AC50" s="29"/>
      <c r="AD50" s="29"/>
      <c r="AE50" s="29"/>
    </row>
    <row r="51">
      <c r="A51" s="7" t="s">
        <v>319</v>
      </c>
      <c r="B51" s="7" t="s">
        <v>238</v>
      </c>
      <c r="C51" s="7" t="s">
        <v>239</v>
      </c>
      <c r="D51" s="7" t="s">
        <v>110</v>
      </c>
      <c r="E51" s="23">
        <v>28.0</v>
      </c>
      <c r="F51" s="7" t="s">
        <v>320</v>
      </c>
      <c r="G51" s="7"/>
      <c r="H51" s="7"/>
      <c r="I51" s="7"/>
      <c r="J51" s="7"/>
      <c r="K51" s="7"/>
      <c r="L51" s="29"/>
      <c r="M51" s="5"/>
      <c r="N51" s="29"/>
      <c r="O51" s="29"/>
      <c r="P51" s="29"/>
      <c r="Q51" s="29"/>
      <c r="R51" s="29"/>
      <c r="S51" s="29"/>
      <c r="T51" s="29"/>
      <c r="U51" s="29"/>
      <c r="V51" s="29"/>
      <c r="W51" s="29"/>
      <c r="X51" s="29"/>
      <c r="Y51" s="29"/>
      <c r="Z51" s="29"/>
      <c r="AA51" s="29"/>
      <c r="AB51" s="29"/>
      <c r="AC51" s="29"/>
      <c r="AD51" s="29"/>
      <c r="AE51" s="29"/>
    </row>
    <row r="52">
      <c r="A52" s="7" t="s">
        <v>112</v>
      </c>
      <c r="B52" s="7" t="s">
        <v>238</v>
      </c>
      <c r="C52" s="7" t="s">
        <v>239</v>
      </c>
      <c r="D52" s="7" t="s">
        <v>112</v>
      </c>
      <c r="E52" s="23">
        <v>25.0</v>
      </c>
      <c r="F52" s="7" t="s">
        <v>321</v>
      </c>
      <c r="G52" s="7"/>
      <c r="H52" s="7"/>
      <c r="I52" s="7"/>
      <c r="J52" s="7" t="s">
        <v>322</v>
      </c>
      <c r="K52" s="7"/>
      <c r="L52" s="29"/>
      <c r="M52" s="5"/>
      <c r="N52" s="29"/>
      <c r="O52" s="29"/>
      <c r="P52" s="29"/>
      <c r="Q52" s="29"/>
      <c r="R52" s="29"/>
      <c r="S52" s="29"/>
      <c r="T52" s="29"/>
      <c r="U52" s="29"/>
      <c r="V52" s="29"/>
      <c r="W52" s="29"/>
      <c r="X52" s="29"/>
      <c r="Y52" s="29"/>
      <c r="Z52" s="29"/>
      <c r="AA52" s="29"/>
      <c r="AB52" s="29"/>
      <c r="AC52" s="29"/>
      <c r="AD52" s="29"/>
      <c r="AE52" s="29"/>
    </row>
    <row r="53">
      <c r="A53" s="7" t="s">
        <v>114</v>
      </c>
      <c r="B53" s="7" t="s">
        <v>238</v>
      </c>
      <c r="C53" s="7" t="s">
        <v>191</v>
      </c>
      <c r="D53" s="7" t="s">
        <v>114</v>
      </c>
      <c r="E53" s="23">
        <v>26.0</v>
      </c>
      <c r="F53" s="7" t="s">
        <v>323</v>
      </c>
      <c r="G53" s="7"/>
      <c r="H53" s="7"/>
      <c r="I53" s="7"/>
      <c r="J53" s="7" t="s">
        <v>324</v>
      </c>
      <c r="K53" s="7"/>
      <c r="L53" s="29"/>
      <c r="M53" s="5"/>
      <c r="N53" s="29"/>
      <c r="O53" s="29"/>
      <c r="P53" s="29"/>
      <c r="Q53" s="29"/>
      <c r="R53" s="29"/>
      <c r="S53" s="29"/>
      <c r="T53" s="29"/>
      <c r="U53" s="29"/>
      <c r="V53" s="29"/>
      <c r="W53" s="29"/>
      <c r="X53" s="29"/>
      <c r="Y53" s="29"/>
      <c r="Z53" s="29"/>
      <c r="AA53" s="29"/>
      <c r="AB53" s="29"/>
      <c r="AC53" s="29"/>
      <c r="AD53" s="29"/>
      <c r="AE53" s="29"/>
    </row>
    <row r="54">
      <c r="A54" s="7" t="s">
        <v>116</v>
      </c>
      <c r="B54" s="7" t="s">
        <v>238</v>
      </c>
      <c r="C54" s="7" t="s">
        <v>239</v>
      </c>
      <c r="D54" s="7" t="s">
        <v>116</v>
      </c>
      <c r="E54" s="23">
        <v>25.0</v>
      </c>
      <c r="F54" s="7" t="s">
        <v>325</v>
      </c>
      <c r="G54" s="7"/>
      <c r="H54" s="7"/>
      <c r="I54" s="7"/>
      <c r="J54" s="7"/>
      <c r="K54" s="7"/>
      <c r="L54" s="29"/>
      <c r="M54" s="5"/>
      <c r="N54" s="29"/>
      <c r="O54" s="29"/>
      <c r="P54" s="29"/>
      <c r="Q54" s="29"/>
      <c r="R54" s="29"/>
      <c r="S54" s="29"/>
      <c r="T54" s="29"/>
      <c r="U54" s="29"/>
      <c r="V54" s="29"/>
      <c r="W54" s="29"/>
      <c r="X54" s="29"/>
      <c r="Y54" s="29"/>
      <c r="Z54" s="29"/>
      <c r="AA54" s="29"/>
      <c r="AB54" s="29"/>
      <c r="AC54" s="29"/>
      <c r="AD54" s="29"/>
      <c r="AE54" s="29"/>
    </row>
    <row r="55">
      <c r="A55" s="7" t="s">
        <v>118</v>
      </c>
      <c r="B55" s="13" t="s">
        <v>238</v>
      </c>
      <c r="C55" s="13" t="s">
        <v>191</v>
      </c>
      <c r="D55" s="13" t="s">
        <v>118</v>
      </c>
      <c r="E55" s="39">
        <v>21.0</v>
      </c>
      <c r="F55" s="13" t="s">
        <v>326</v>
      </c>
      <c r="G55" s="23"/>
      <c r="H55" s="7"/>
      <c r="I55" s="7"/>
      <c r="J55" s="7"/>
      <c r="K55" s="7"/>
      <c r="L55" s="29"/>
      <c r="M55" s="5"/>
      <c r="N55" s="29"/>
      <c r="O55" s="29"/>
      <c r="P55" s="29"/>
      <c r="Q55" s="29"/>
      <c r="R55" s="29"/>
      <c r="S55" s="29"/>
      <c r="T55" s="29"/>
      <c r="U55" s="29"/>
      <c r="V55" s="29"/>
      <c r="W55" s="29"/>
      <c r="X55" s="29"/>
      <c r="Y55" s="29"/>
      <c r="Z55" s="29"/>
      <c r="AA55" s="29"/>
      <c r="AB55" s="29"/>
      <c r="AC55" s="29"/>
      <c r="AD55" s="29"/>
      <c r="AE55" s="29"/>
    </row>
    <row r="56">
      <c r="A56" s="7" t="s">
        <v>120</v>
      </c>
      <c r="B56" s="7" t="s">
        <v>238</v>
      </c>
      <c r="C56" s="7" t="s">
        <v>239</v>
      </c>
      <c r="D56" s="7" t="s">
        <v>120</v>
      </c>
      <c r="E56" s="7">
        <v>20.0</v>
      </c>
      <c r="F56" s="7" t="s">
        <v>327</v>
      </c>
      <c r="G56" s="7"/>
      <c r="H56" s="7"/>
      <c r="I56" s="7"/>
      <c r="J56" s="7" t="s">
        <v>328</v>
      </c>
      <c r="K56" s="7"/>
      <c r="L56" s="29"/>
      <c r="M56" s="5"/>
      <c r="N56" s="29"/>
      <c r="O56" s="29"/>
      <c r="P56" s="29"/>
      <c r="Q56" s="29"/>
      <c r="R56" s="29"/>
      <c r="S56" s="29"/>
      <c r="T56" s="29"/>
      <c r="U56" s="29"/>
      <c r="V56" s="29"/>
      <c r="W56" s="29"/>
      <c r="X56" s="29"/>
      <c r="Y56" s="29"/>
      <c r="Z56" s="29"/>
      <c r="AA56" s="29"/>
      <c r="AB56" s="29"/>
      <c r="AC56" s="29"/>
      <c r="AD56" s="29"/>
      <c r="AE56" s="29"/>
    </row>
    <row r="57">
      <c r="A57" s="7" t="s">
        <v>122</v>
      </c>
      <c r="B57" s="7" t="s">
        <v>238</v>
      </c>
      <c r="C57" s="7" t="s">
        <v>239</v>
      </c>
      <c r="D57" s="7" t="s">
        <v>122</v>
      </c>
      <c r="E57" s="23">
        <v>26.0</v>
      </c>
      <c r="F57" s="7" t="s">
        <v>329</v>
      </c>
      <c r="G57" s="7"/>
      <c r="H57" s="7"/>
      <c r="I57" s="7"/>
      <c r="J57" s="7"/>
      <c r="K57" s="7"/>
      <c r="L57" s="29"/>
      <c r="M57" s="5"/>
      <c r="N57" s="29"/>
      <c r="O57" s="29"/>
      <c r="P57" s="29"/>
      <c r="Q57" s="29"/>
      <c r="R57" s="29"/>
      <c r="S57" s="29"/>
      <c r="T57" s="29"/>
      <c r="U57" s="29"/>
      <c r="V57" s="29"/>
      <c r="W57" s="29"/>
      <c r="X57" s="29"/>
      <c r="Y57" s="29"/>
      <c r="Z57" s="29"/>
      <c r="AA57" s="29"/>
      <c r="AB57" s="29"/>
      <c r="AC57" s="29"/>
      <c r="AD57" s="29"/>
      <c r="AE57" s="29"/>
    </row>
    <row r="58">
      <c r="A58" s="7" t="s">
        <v>124</v>
      </c>
      <c r="B58" s="7" t="s">
        <v>238</v>
      </c>
      <c r="C58" s="7" t="s">
        <v>239</v>
      </c>
      <c r="D58" s="7" t="s">
        <v>124</v>
      </c>
      <c r="E58" s="23">
        <v>25.0</v>
      </c>
      <c r="F58" s="7" t="s">
        <v>330</v>
      </c>
      <c r="G58" s="7"/>
      <c r="H58" s="7"/>
      <c r="I58" s="7"/>
      <c r="J58" s="7" t="s">
        <v>331</v>
      </c>
      <c r="K58" s="7"/>
      <c r="L58" s="29"/>
      <c r="M58" s="5"/>
      <c r="N58" s="29"/>
      <c r="O58" s="29"/>
      <c r="P58" s="29"/>
      <c r="Q58" s="29"/>
      <c r="R58" s="29"/>
      <c r="S58" s="29"/>
      <c r="T58" s="29"/>
      <c r="U58" s="29"/>
      <c r="V58" s="29"/>
      <c r="W58" s="29"/>
      <c r="X58" s="29"/>
      <c r="Y58" s="29"/>
      <c r="Z58" s="29"/>
      <c r="AA58" s="29"/>
      <c r="AB58" s="29"/>
      <c r="AC58" s="29"/>
      <c r="AD58" s="29"/>
      <c r="AE58" s="29"/>
    </row>
    <row r="59">
      <c r="A59" s="7" t="s">
        <v>126</v>
      </c>
      <c r="B59" s="40" t="s">
        <v>238</v>
      </c>
      <c r="C59" s="40" t="s">
        <v>239</v>
      </c>
      <c r="D59" s="40" t="s">
        <v>126</v>
      </c>
      <c r="E59" s="41">
        <v>25.0</v>
      </c>
      <c r="F59" s="40" t="s">
        <v>332</v>
      </c>
      <c r="G59" s="40"/>
      <c r="H59" s="7"/>
      <c r="I59" s="40"/>
      <c r="J59" s="7" t="s">
        <v>333</v>
      </c>
      <c r="K59" s="7"/>
      <c r="L59" s="29"/>
      <c r="M59" s="5"/>
      <c r="N59" s="42"/>
      <c r="O59" s="42"/>
      <c r="P59" s="42"/>
      <c r="Q59" s="42"/>
      <c r="R59" s="42"/>
      <c r="S59" s="42"/>
      <c r="T59" s="42"/>
      <c r="U59" s="42"/>
      <c r="V59" s="42"/>
      <c r="W59" s="42"/>
      <c r="X59" s="42"/>
      <c r="Y59" s="42"/>
      <c r="Z59" s="42"/>
      <c r="AA59" s="42"/>
      <c r="AB59" s="42"/>
      <c r="AC59" s="42"/>
      <c r="AD59" s="42"/>
      <c r="AE59" s="42"/>
    </row>
    <row r="60">
      <c r="A60" s="7" t="s">
        <v>128</v>
      </c>
      <c r="B60" s="40" t="s">
        <v>238</v>
      </c>
      <c r="C60" s="40" t="s">
        <v>239</v>
      </c>
      <c r="D60" s="40" t="s">
        <v>128</v>
      </c>
      <c r="E60" s="41">
        <v>25.0</v>
      </c>
      <c r="F60" s="40" t="s">
        <v>334</v>
      </c>
      <c r="G60" s="40"/>
      <c r="H60" s="7"/>
      <c r="I60" s="7"/>
      <c r="J60" s="7"/>
      <c r="K60" s="7"/>
      <c r="L60" s="29"/>
      <c r="M60" s="5"/>
      <c r="N60" s="42"/>
      <c r="O60" s="42"/>
      <c r="P60" s="42"/>
      <c r="Q60" s="42"/>
      <c r="R60" s="42"/>
      <c r="S60" s="42"/>
      <c r="T60" s="42"/>
      <c r="U60" s="42"/>
      <c r="V60" s="42"/>
      <c r="W60" s="42"/>
      <c r="X60" s="42"/>
      <c r="Y60" s="42"/>
      <c r="Z60" s="42"/>
      <c r="AA60" s="42"/>
      <c r="AB60" s="42"/>
      <c r="AC60" s="42"/>
      <c r="AD60" s="42"/>
      <c r="AE60" s="42"/>
    </row>
    <row r="61">
      <c r="A61" s="7" t="s">
        <v>130</v>
      </c>
      <c r="B61" s="7" t="s">
        <v>238</v>
      </c>
      <c r="C61" s="7" t="s">
        <v>239</v>
      </c>
      <c r="D61" s="7" t="s">
        <v>130</v>
      </c>
      <c r="E61" s="23">
        <v>25.0</v>
      </c>
      <c r="F61" s="7" t="s">
        <v>335</v>
      </c>
      <c r="G61" s="7"/>
      <c r="H61" s="7"/>
      <c r="I61" s="7"/>
      <c r="J61" s="7" t="s">
        <v>336</v>
      </c>
      <c r="K61" s="40"/>
      <c r="L61" s="29"/>
      <c r="M61" s="5"/>
      <c r="N61" s="42"/>
      <c r="O61" s="42"/>
      <c r="P61" s="42"/>
      <c r="Q61" s="42"/>
      <c r="R61" s="42"/>
      <c r="S61" s="42"/>
      <c r="T61" s="42"/>
      <c r="U61" s="42"/>
      <c r="V61" s="42"/>
      <c r="W61" s="42"/>
      <c r="X61" s="42"/>
      <c r="Y61" s="42"/>
      <c r="Z61" s="42"/>
      <c r="AA61" s="42"/>
      <c r="AB61" s="42"/>
      <c r="AC61" s="42"/>
      <c r="AD61" s="42"/>
      <c r="AE61" s="42"/>
    </row>
    <row r="62">
      <c r="A62" s="7" t="s">
        <v>132</v>
      </c>
      <c r="B62" s="7" t="s">
        <v>238</v>
      </c>
      <c r="C62" s="7" t="s">
        <v>239</v>
      </c>
      <c r="D62" s="7" t="s">
        <v>132</v>
      </c>
      <c r="E62" s="23">
        <v>25.0</v>
      </c>
      <c r="F62" s="7" t="s">
        <v>337</v>
      </c>
      <c r="G62" s="7"/>
      <c r="H62" s="7"/>
      <c r="I62" s="7"/>
      <c r="J62" s="7" t="s">
        <v>338</v>
      </c>
      <c r="K62" s="7"/>
      <c r="L62" s="29"/>
      <c r="M62" s="5"/>
      <c r="N62" s="42"/>
      <c r="O62" s="42"/>
      <c r="P62" s="42"/>
      <c r="Q62" s="42"/>
      <c r="R62" s="42"/>
      <c r="S62" s="42"/>
      <c r="T62" s="42"/>
      <c r="U62" s="42"/>
      <c r="V62" s="42"/>
      <c r="W62" s="42"/>
      <c r="X62" s="42"/>
      <c r="Y62" s="42"/>
      <c r="Z62" s="42"/>
      <c r="AA62" s="42"/>
      <c r="AB62" s="42"/>
      <c r="AC62" s="42"/>
      <c r="AD62" s="42"/>
      <c r="AE62" s="42"/>
    </row>
    <row r="63">
      <c r="A63" s="7" t="s">
        <v>134</v>
      </c>
      <c r="B63" s="7" t="s">
        <v>238</v>
      </c>
      <c r="C63" s="7" t="s">
        <v>239</v>
      </c>
      <c r="D63" s="7" t="s">
        <v>134</v>
      </c>
      <c r="E63" s="23">
        <v>25.0</v>
      </c>
      <c r="F63" s="7" t="s">
        <v>339</v>
      </c>
      <c r="G63" s="7"/>
      <c r="H63" s="7"/>
      <c r="I63" s="7"/>
      <c r="J63" s="7" t="s">
        <v>340</v>
      </c>
      <c r="K63" s="40"/>
      <c r="L63" s="29"/>
      <c r="M63" s="5"/>
      <c r="N63" s="42"/>
      <c r="O63" s="42"/>
      <c r="P63" s="42"/>
      <c r="Q63" s="42"/>
      <c r="R63" s="42"/>
      <c r="S63" s="42"/>
      <c r="T63" s="42"/>
      <c r="U63" s="42"/>
      <c r="V63" s="42"/>
      <c r="W63" s="42"/>
      <c r="X63" s="42"/>
      <c r="Y63" s="42"/>
      <c r="Z63" s="42"/>
      <c r="AA63" s="42"/>
      <c r="AB63" s="42"/>
      <c r="AC63" s="42"/>
      <c r="AD63" s="42"/>
      <c r="AE63" s="42"/>
    </row>
    <row r="64">
      <c r="A64" s="7" t="s">
        <v>136</v>
      </c>
      <c r="B64" s="7" t="s">
        <v>238</v>
      </c>
      <c r="C64" s="7" t="s">
        <v>239</v>
      </c>
      <c r="D64" s="7" t="s">
        <v>136</v>
      </c>
      <c r="E64" s="23">
        <v>25.0</v>
      </c>
      <c r="F64" s="7" t="s">
        <v>341</v>
      </c>
      <c r="G64" s="7"/>
      <c r="H64" s="7"/>
      <c r="I64" s="7"/>
      <c r="J64" s="7"/>
      <c r="K64" s="40"/>
      <c r="L64" s="29"/>
      <c r="M64" s="5"/>
      <c r="N64" s="42"/>
      <c r="O64" s="42"/>
      <c r="P64" s="42"/>
      <c r="Q64" s="42"/>
      <c r="R64" s="42"/>
      <c r="S64" s="42"/>
      <c r="T64" s="42"/>
      <c r="U64" s="42"/>
      <c r="V64" s="42"/>
      <c r="W64" s="42"/>
      <c r="X64" s="42"/>
      <c r="Y64" s="42"/>
      <c r="Z64" s="42"/>
      <c r="AA64" s="42"/>
      <c r="AB64" s="42"/>
      <c r="AC64" s="42"/>
      <c r="AD64" s="42"/>
      <c r="AE64" s="42"/>
    </row>
    <row r="65">
      <c r="A65" s="7" t="s">
        <v>221</v>
      </c>
      <c r="B65" s="7" t="s">
        <v>190</v>
      </c>
      <c r="C65" s="7" t="s">
        <v>191</v>
      </c>
      <c r="D65" s="7" t="s">
        <v>33</v>
      </c>
      <c r="E65" s="23">
        <v>37.0</v>
      </c>
      <c r="F65" s="7" t="s">
        <v>342</v>
      </c>
      <c r="G65" s="7"/>
      <c r="H65" s="7"/>
      <c r="I65" s="7"/>
      <c r="J65" s="7"/>
      <c r="K65" s="7"/>
      <c r="L65" s="29"/>
      <c r="M65" s="5"/>
      <c r="N65" s="42"/>
      <c r="O65" s="42"/>
      <c r="P65" s="42"/>
      <c r="Q65" s="42"/>
      <c r="R65" s="42"/>
      <c r="S65" s="42"/>
      <c r="T65" s="42"/>
      <c r="U65" s="42"/>
      <c r="V65" s="42"/>
      <c r="W65" s="42"/>
      <c r="X65" s="42"/>
      <c r="Y65" s="42"/>
      <c r="Z65" s="42"/>
      <c r="AA65" s="42"/>
      <c r="AB65" s="42"/>
      <c r="AC65" s="42"/>
      <c r="AD65" s="42"/>
      <c r="AE65" s="42"/>
    </row>
    <row r="66">
      <c r="A66" s="7" t="s">
        <v>343</v>
      </c>
      <c r="B66" s="7" t="s">
        <v>190</v>
      </c>
      <c r="C66" s="7" t="s">
        <v>191</v>
      </c>
      <c r="D66" s="7" t="s">
        <v>16</v>
      </c>
      <c r="E66" s="23">
        <v>37.0</v>
      </c>
      <c r="F66" s="7" t="s">
        <v>344</v>
      </c>
      <c r="G66" s="7"/>
      <c r="H66" s="7"/>
      <c r="I66" s="7"/>
      <c r="J66" s="7"/>
      <c r="K66" s="7"/>
      <c r="L66" s="29"/>
      <c r="M66" s="5"/>
      <c r="N66" s="42"/>
      <c r="O66" s="42"/>
      <c r="P66" s="42"/>
      <c r="Q66" s="42"/>
      <c r="R66" s="42"/>
      <c r="S66" s="42"/>
      <c r="T66" s="42"/>
      <c r="U66" s="42"/>
      <c r="V66" s="42"/>
      <c r="W66" s="42"/>
      <c r="X66" s="42"/>
      <c r="Y66" s="42"/>
      <c r="Z66" s="42"/>
      <c r="AA66" s="42"/>
      <c r="AB66" s="42"/>
      <c r="AC66" s="42"/>
      <c r="AD66" s="42"/>
      <c r="AE66" s="42"/>
    </row>
    <row r="67">
      <c r="A67" s="7" t="s">
        <v>345</v>
      </c>
      <c r="B67" s="7" t="s">
        <v>190</v>
      </c>
      <c r="C67" s="7" t="s">
        <v>191</v>
      </c>
      <c r="D67" s="7" t="s">
        <v>19</v>
      </c>
      <c r="E67" s="23">
        <v>36.0</v>
      </c>
      <c r="F67" s="7" t="s">
        <v>346</v>
      </c>
      <c r="G67" s="7"/>
      <c r="H67" s="7"/>
      <c r="I67" s="7"/>
      <c r="J67" s="7"/>
      <c r="K67" s="7"/>
      <c r="L67" s="29"/>
      <c r="M67" s="5"/>
      <c r="N67" s="29"/>
      <c r="O67" s="29"/>
      <c r="P67" s="29"/>
      <c r="Q67" s="29"/>
      <c r="R67" s="29"/>
      <c r="S67" s="29"/>
      <c r="T67" s="29"/>
      <c r="U67" s="29"/>
      <c r="V67" s="29"/>
      <c r="W67" s="29"/>
      <c r="X67" s="29"/>
      <c r="Y67" s="29"/>
      <c r="Z67" s="29"/>
      <c r="AA67" s="29"/>
      <c r="AB67" s="29"/>
      <c r="AC67" s="29"/>
      <c r="AD67" s="29"/>
      <c r="AE67" s="29"/>
    </row>
    <row r="68">
      <c r="A68" s="7" t="s">
        <v>347</v>
      </c>
      <c r="B68" s="7" t="s">
        <v>238</v>
      </c>
      <c r="C68" s="7" t="s">
        <v>191</v>
      </c>
      <c r="D68" s="7" t="s">
        <v>140</v>
      </c>
      <c r="E68" s="23">
        <v>26.0</v>
      </c>
      <c r="F68" s="7" t="s">
        <v>348</v>
      </c>
      <c r="G68" s="7"/>
      <c r="H68" s="7"/>
      <c r="I68" s="7"/>
      <c r="J68" s="7"/>
      <c r="K68" s="7"/>
      <c r="L68" s="29"/>
      <c r="M68" s="5"/>
      <c r="N68" s="29"/>
      <c r="O68" s="29"/>
      <c r="P68" s="29"/>
      <c r="Q68" s="29"/>
      <c r="R68" s="29"/>
      <c r="S68" s="29"/>
      <c r="T68" s="29"/>
      <c r="U68" s="29"/>
      <c r="V68" s="29"/>
      <c r="W68" s="29"/>
      <c r="X68" s="29"/>
      <c r="Y68" s="29"/>
      <c r="Z68" s="29"/>
      <c r="AA68" s="29"/>
      <c r="AB68" s="29"/>
      <c r="AC68" s="29"/>
      <c r="AD68" s="29"/>
      <c r="AE68" s="29"/>
    </row>
    <row r="69">
      <c r="A69" s="7" t="s">
        <v>349</v>
      </c>
      <c r="B69" s="7" t="s">
        <v>190</v>
      </c>
      <c r="C69" s="7" t="s">
        <v>191</v>
      </c>
      <c r="D69" s="7" t="s">
        <v>24</v>
      </c>
      <c r="E69" s="23">
        <v>36.0</v>
      </c>
      <c r="F69" s="7" t="s">
        <v>350</v>
      </c>
      <c r="G69" s="7"/>
      <c r="H69" s="7"/>
      <c r="I69" s="7"/>
      <c r="J69" s="7"/>
      <c r="K69" s="7"/>
      <c r="L69" s="29"/>
      <c r="M69" s="5"/>
      <c r="N69" s="42"/>
      <c r="O69" s="42"/>
      <c r="P69" s="42"/>
      <c r="Q69" s="42"/>
      <c r="R69" s="42"/>
      <c r="S69" s="42"/>
      <c r="T69" s="42"/>
      <c r="U69" s="42"/>
      <c r="V69" s="42"/>
      <c r="W69" s="42"/>
      <c r="X69" s="42"/>
      <c r="Y69" s="42"/>
      <c r="Z69" s="42"/>
      <c r="AA69" s="42"/>
      <c r="AB69" s="42"/>
      <c r="AC69" s="42"/>
      <c r="AD69" s="42"/>
      <c r="AE69" s="42"/>
    </row>
    <row r="70">
      <c r="A70" s="7" t="s">
        <v>351</v>
      </c>
      <c r="B70" s="7" t="s">
        <v>190</v>
      </c>
      <c r="C70" s="7" t="s">
        <v>191</v>
      </c>
      <c r="D70" s="7" t="s">
        <v>25</v>
      </c>
      <c r="E70" s="23">
        <v>31.0</v>
      </c>
      <c r="F70" s="7" t="s">
        <v>352</v>
      </c>
      <c r="G70" s="7"/>
      <c r="H70" s="7"/>
      <c r="I70" s="7"/>
      <c r="J70" s="7"/>
      <c r="K70" s="7"/>
      <c r="L70" s="29"/>
      <c r="M70" s="5"/>
      <c r="N70" s="42"/>
      <c r="O70" s="42"/>
      <c r="P70" s="42"/>
      <c r="Q70" s="42"/>
      <c r="R70" s="42"/>
      <c r="S70" s="42"/>
      <c r="T70" s="42"/>
      <c r="U70" s="42"/>
      <c r="V70" s="42"/>
      <c r="W70" s="42"/>
      <c r="X70" s="42"/>
      <c r="Y70" s="42"/>
      <c r="Z70" s="42"/>
      <c r="AA70" s="42"/>
      <c r="AB70" s="42"/>
      <c r="AC70" s="42"/>
      <c r="AD70" s="42"/>
      <c r="AE70" s="42"/>
    </row>
    <row r="71">
      <c r="A71" s="7" t="s">
        <v>138</v>
      </c>
      <c r="B71" s="40" t="s">
        <v>238</v>
      </c>
      <c r="C71" s="40" t="s">
        <v>191</v>
      </c>
      <c r="D71" s="40" t="s">
        <v>138</v>
      </c>
      <c r="E71" s="41">
        <v>26.0</v>
      </c>
      <c r="F71" s="40" t="s">
        <v>353</v>
      </c>
      <c r="G71" s="40"/>
      <c r="H71" s="7"/>
      <c r="I71" s="7"/>
      <c r="J71" s="7"/>
      <c r="K71" s="7"/>
      <c r="L71" s="29"/>
      <c r="M71" s="5"/>
      <c r="N71" s="42"/>
      <c r="O71" s="42"/>
      <c r="P71" s="42"/>
      <c r="Q71" s="42"/>
      <c r="R71" s="42"/>
      <c r="S71" s="42"/>
      <c r="T71" s="42"/>
      <c r="U71" s="42"/>
      <c r="V71" s="42"/>
      <c r="W71" s="42"/>
      <c r="X71" s="42"/>
      <c r="Y71" s="42"/>
      <c r="Z71" s="42"/>
      <c r="AA71" s="42"/>
      <c r="AB71" s="42"/>
      <c r="AC71" s="42"/>
      <c r="AD71" s="42"/>
      <c r="AE71" s="42"/>
    </row>
    <row r="72">
      <c r="A72" s="7" t="s">
        <v>354</v>
      </c>
      <c r="B72" s="40" t="s">
        <v>190</v>
      </c>
      <c r="C72" s="40" t="s">
        <v>191</v>
      </c>
      <c r="D72" s="40" t="s">
        <v>27</v>
      </c>
      <c r="E72" s="41">
        <v>35.0</v>
      </c>
      <c r="F72" s="40" t="s">
        <v>355</v>
      </c>
      <c r="G72" s="40"/>
      <c r="H72" s="7"/>
      <c r="I72" s="7"/>
      <c r="J72" s="7"/>
      <c r="K72" s="7"/>
      <c r="L72" s="29"/>
      <c r="M72" s="5"/>
      <c r="N72" s="42"/>
      <c r="O72" s="42"/>
      <c r="P72" s="42"/>
      <c r="Q72" s="42"/>
      <c r="R72" s="42"/>
      <c r="S72" s="42"/>
      <c r="T72" s="42"/>
      <c r="U72" s="42"/>
      <c r="V72" s="42"/>
      <c r="W72" s="42"/>
      <c r="X72" s="42"/>
      <c r="Y72" s="42"/>
      <c r="Z72" s="42"/>
      <c r="AA72" s="42"/>
      <c r="AB72" s="42"/>
      <c r="AC72" s="42"/>
      <c r="AD72" s="42"/>
      <c r="AE72" s="42"/>
    </row>
    <row r="73">
      <c r="A73" s="7" t="s">
        <v>356</v>
      </c>
      <c r="B73" s="43" t="s">
        <v>190</v>
      </c>
      <c r="C73" s="43" t="s">
        <v>191</v>
      </c>
      <c r="D73" s="43" t="s">
        <v>38</v>
      </c>
      <c r="E73" s="34">
        <v>35.0</v>
      </c>
      <c r="F73" s="43" t="s">
        <v>357</v>
      </c>
      <c r="G73" s="7"/>
      <c r="H73" s="7"/>
      <c r="I73" s="7"/>
      <c r="J73" s="40" t="s">
        <v>358</v>
      </c>
      <c r="K73" s="7"/>
      <c r="L73" s="29"/>
      <c r="M73" s="5"/>
      <c r="N73" s="29"/>
      <c r="O73" s="29"/>
      <c r="P73" s="29"/>
      <c r="Q73" s="29"/>
      <c r="R73" s="29"/>
      <c r="S73" s="29"/>
      <c r="T73" s="29"/>
      <c r="U73" s="29"/>
      <c r="V73" s="29"/>
      <c r="W73" s="29"/>
      <c r="X73" s="29"/>
      <c r="Y73" s="29"/>
      <c r="Z73" s="29"/>
      <c r="AA73" s="29"/>
      <c r="AB73" s="29"/>
      <c r="AC73" s="29"/>
      <c r="AD73" s="29"/>
      <c r="AE73" s="29"/>
    </row>
    <row r="74">
      <c r="A74" s="23" t="s">
        <v>359</v>
      </c>
      <c r="B74" s="23" t="s">
        <v>190</v>
      </c>
      <c r="C74" s="23" t="s">
        <v>191</v>
      </c>
      <c r="D74" s="23" t="s">
        <v>45</v>
      </c>
      <c r="E74" s="23">
        <v>35.0</v>
      </c>
      <c r="F74" s="23" t="s">
        <v>360</v>
      </c>
      <c r="G74" s="23" t="s">
        <v>361</v>
      </c>
      <c r="H74" s="23"/>
      <c r="I74" s="23"/>
      <c r="J74" s="41"/>
      <c r="K74" s="23"/>
      <c r="L74" s="35"/>
      <c r="M74" s="36"/>
      <c r="N74" s="35"/>
      <c r="O74" s="35"/>
      <c r="P74" s="35"/>
      <c r="Q74" s="35"/>
      <c r="R74" s="35"/>
      <c r="S74" s="35"/>
      <c r="T74" s="35"/>
      <c r="U74" s="35"/>
      <c r="V74" s="35"/>
      <c r="W74" s="35"/>
      <c r="X74" s="35"/>
      <c r="Y74" s="35"/>
      <c r="Z74" s="35"/>
      <c r="AA74" s="35"/>
      <c r="AB74" s="35"/>
      <c r="AC74" s="35"/>
      <c r="AD74" s="35"/>
      <c r="AE74" s="35"/>
    </row>
    <row r="75">
      <c r="A75" s="7" t="s">
        <v>362</v>
      </c>
      <c r="B75" s="7" t="s">
        <v>190</v>
      </c>
      <c r="C75" s="7" t="s">
        <v>191</v>
      </c>
      <c r="D75" s="7" t="s">
        <v>69</v>
      </c>
      <c r="E75" s="23">
        <v>35.0</v>
      </c>
      <c r="F75" s="7" t="s">
        <v>363</v>
      </c>
      <c r="G75" s="7"/>
      <c r="H75" s="7"/>
      <c r="I75" s="7"/>
      <c r="J75" s="40" t="s">
        <v>364</v>
      </c>
      <c r="K75" s="7"/>
      <c r="L75" s="29"/>
      <c r="M75" s="5"/>
      <c r="N75" s="29"/>
      <c r="O75" s="29"/>
      <c r="P75" s="29"/>
      <c r="Q75" s="29"/>
      <c r="R75" s="29"/>
      <c r="S75" s="29"/>
      <c r="T75" s="29"/>
      <c r="U75" s="29"/>
      <c r="V75" s="29"/>
      <c r="W75" s="29"/>
      <c r="X75" s="29"/>
      <c r="Y75" s="29"/>
      <c r="Z75" s="29"/>
      <c r="AA75" s="29"/>
      <c r="AB75" s="29"/>
      <c r="AC75" s="29"/>
      <c r="AD75" s="29"/>
      <c r="AE75" s="29"/>
    </row>
    <row r="76">
      <c r="A76" s="7" t="s">
        <v>365</v>
      </c>
      <c r="B76" s="7" t="s">
        <v>190</v>
      </c>
      <c r="C76" s="7" t="s">
        <v>191</v>
      </c>
      <c r="D76" s="7" t="s">
        <v>72</v>
      </c>
      <c r="E76" s="23">
        <v>35.0</v>
      </c>
      <c r="F76" s="7" t="s">
        <v>366</v>
      </c>
      <c r="G76" s="7"/>
      <c r="H76" s="7"/>
      <c r="I76" s="7"/>
      <c r="J76" s="40" t="s">
        <v>367</v>
      </c>
      <c r="K76" s="7"/>
      <c r="L76" s="29"/>
      <c r="M76" s="5"/>
      <c r="N76" s="29"/>
      <c r="O76" s="29"/>
      <c r="P76" s="29"/>
      <c r="Q76" s="29"/>
      <c r="R76" s="29"/>
      <c r="S76" s="29"/>
      <c r="T76" s="29"/>
      <c r="U76" s="29"/>
      <c r="V76" s="29"/>
      <c r="W76" s="29"/>
      <c r="X76" s="29"/>
      <c r="Y76" s="29"/>
      <c r="Z76" s="29"/>
      <c r="AA76" s="29"/>
      <c r="AB76" s="29"/>
      <c r="AC76" s="29"/>
      <c r="AD76" s="29"/>
      <c r="AE76" s="29"/>
    </row>
    <row r="77">
      <c r="A77" s="7" t="s">
        <v>368</v>
      </c>
      <c r="B77" s="7" t="s">
        <v>190</v>
      </c>
      <c r="C77" s="7" t="s">
        <v>191</v>
      </c>
      <c r="D77" s="7" t="s">
        <v>70</v>
      </c>
      <c r="E77" s="23">
        <v>36.0</v>
      </c>
      <c r="F77" s="7" t="s">
        <v>369</v>
      </c>
      <c r="G77" s="7" t="s">
        <v>370</v>
      </c>
      <c r="H77" s="7"/>
      <c r="I77" s="7"/>
      <c r="J77" s="40"/>
      <c r="K77" s="7"/>
      <c r="L77" s="29"/>
      <c r="M77" s="5"/>
      <c r="N77" s="29"/>
      <c r="O77" s="29"/>
      <c r="P77" s="29"/>
      <c r="Q77" s="29"/>
      <c r="R77" s="29"/>
      <c r="S77" s="29"/>
      <c r="T77" s="29"/>
      <c r="U77" s="29"/>
      <c r="V77" s="29"/>
      <c r="W77" s="29"/>
      <c r="X77" s="29"/>
      <c r="Y77" s="29"/>
      <c r="Z77" s="29"/>
      <c r="AA77" s="29"/>
      <c r="AB77" s="29"/>
      <c r="AC77" s="29"/>
      <c r="AD77" s="29"/>
      <c r="AE77" s="29"/>
    </row>
    <row r="78">
      <c r="A78" s="43" t="s">
        <v>371</v>
      </c>
      <c r="B78" s="7" t="s">
        <v>190</v>
      </c>
      <c r="C78" s="7" t="s">
        <v>191</v>
      </c>
      <c r="D78" s="7" t="s">
        <v>51</v>
      </c>
      <c r="E78" s="23">
        <v>36.0</v>
      </c>
      <c r="F78" s="7" t="s">
        <v>372</v>
      </c>
      <c r="G78" s="7"/>
      <c r="H78" s="7"/>
      <c r="I78" s="7"/>
      <c r="J78" s="40"/>
      <c r="K78" s="7"/>
      <c r="L78" s="29"/>
      <c r="M78" s="5"/>
      <c r="N78" s="29"/>
      <c r="O78" s="29"/>
      <c r="P78" s="29"/>
      <c r="Q78" s="29"/>
      <c r="R78" s="29"/>
      <c r="S78" s="29"/>
      <c r="T78" s="29"/>
      <c r="U78" s="29"/>
      <c r="V78" s="29"/>
      <c r="W78" s="29"/>
      <c r="X78" s="29"/>
      <c r="Y78" s="29"/>
      <c r="Z78" s="29"/>
      <c r="AA78" s="29"/>
      <c r="AB78" s="29"/>
      <c r="AC78" s="29"/>
      <c r="AD78" s="29"/>
      <c r="AE78" s="29"/>
    </row>
    <row r="79">
      <c r="A79" s="43" t="s">
        <v>373</v>
      </c>
      <c r="B79" s="7" t="s">
        <v>190</v>
      </c>
      <c r="C79" s="7" t="s">
        <v>191</v>
      </c>
      <c r="D79" s="7" t="s">
        <v>75</v>
      </c>
      <c r="E79" s="23">
        <v>30.0</v>
      </c>
      <c r="F79" s="7" t="s">
        <v>374</v>
      </c>
      <c r="G79" s="7"/>
      <c r="H79" s="7"/>
      <c r="I79" s="7"/>
      <c r="J79" s="40"/>
      <c r="K79" s="7"/>
      <c r="L79" s="29"/>
      <c r="M79" s="5"/>
      <c r="N79" s="29"/>
      <c r="O79" s="29"/>
      <c r="P79" s="29"/>
      <c r="Q79" s="29"/>
      <c r="R79" s="29"/>
      <c r="S79" s="29"/>
      <c r="T79" s="29"/>
      <c r="U79" s="29"/>
      <c r="V79" s="29"/>
      <c r="W79" s="29"/>
      <c r="X79" s="29"/>
      <c r="Y79" s="29"/>
      <c r="Z79" s="29"/>
      <c r="AA79" s="29"/>
      <c r="AB79" s="29"/>
      <c r="AC79" s="29"/>
      <c r="AD79" s="29"/>
      <c r="AE79" s="29"/>
    </row>
    <row r="80">
      <c r="A80" s="34" t="s">
        <v>142</v>
      </c>
      <c r="B80" s="23" t="s">
        <v>238</v>
      </c>
      <c r="C80" s="23" t="s">
        <v>191</v>
      </c>
      <c r="D80" s="23" t="s">
        <v>142</v>
      </c>
      <c r="E80" s="7">
        <v>29.0</v>
      </c>
      <c r="F80" s="23" t="s">
        <v>375</v>
      </c>
      <c r="G80" s="23"/>
      <c r="H80" s="23"/>
      <c r="I80" s="23"/>
      <c r="J80" s="41"/>
      <c r="K80" s="23"/>
      <c r="L80" s="35"/>
      <c r="M80" s="36"/>
      <c r="N80" s="35"/>
      <c r="O80" s="35"/>
      <c r="P80" s="35"/>
      <c r="Q80" s="35"/>
      <c r="R80" s="35"/>
      <c r="S80" s="35"/>
      <c r="T80" s="35"/>
      <c r="U80" s="35"/>
      <c r="V80" s="35"/>
      <c r="W80" s="35"/>
      <c r="X80" s="35"/>
      <c r="Y80" s="35"/>
      <c r="Z80" s="35"/>
      <c r="AA80" s="35"/>
      <c r="AB80" s="35"/>
      <c r="AC80" s="35"/>
      <c r="AD80" s="35"/>
      <c r="AE80" s="35"/>
    </row>
    <row r="81">
      <c r="A81" s="7" t="s">
        <v>376</v>
      </c>
      <c r="B81" s="7" t="s">
        <v>190</v>
      </c>
      <c r="C81" s="7" t="s">
        <v>191</v>
      </c>
      <c r="D81" s="7" t="s">
        <v>24</v>
      </c>
      <c r="E81" s="23">
        <v>37.0</v>
      </c>
      <c r="F81" s="7" t="s">
        <v>377</v>
      </c>
      <c r="G81" s="7" t="s">
        <v>378</v>
      </c>
      <c r="H81" s="7"/>
      <c r="I81" s="7"/>
      <c r="J81" s="7"/>
      <c r="K81" s="7"/>
      <c r="L81" s="29"/>
      <c r="M81" s="5"/>
      <c r="N81" s="29"/>
      <c r="O81" s="29"/>
      <c r="P81" s="29"/>
      <c r="Q81" s="29"/>
      <c r="R81" s="29"/>
      <c r="S81" s="29"/>
      <c r="T81" s="29"/>
      <c r="U81" s="29"/>
      <c r="V81" s="29"/>
      <c r="W81" s="29"/>
      <c r="X81" s="29"/>
      <c r="Y81" s="29"/>
      <c r="Z81" s="29"/>
      <c r="AA81" s="29"/>
      <c r="AB81" s="29"/>
      <c r="AC81" s="29"/>
      <c r="AD81" s="29"/>
      <c r="AE81" s="29"/>
    </row>
    <row r="82">
      <c r="A82" s="7" t="s">
        <v>379</v>
      </c>
      <c r="B82" s="7" t="s">
        <v>190</v>
      </c>
      <c r="C82" s="7" t="s">
        <v>191</v>
      </c>
      <c r="D82" s="7" t="s">
        <v>19</v>
      </c>
      <c r="E82" s="23">
        <v>37.0</v>
      </c>
      <c r="F82" s="7" t="s">
        <v>380</v>
      </c>
      <c r="G82" s="7"/>
      <c r="H82" s="7"/>
      <c r="I82" s="7"/>
      <c r="J82" s="7"/>
      <c r="K82" s="7"/>
      <c r="L82" s="29"/>
      <c r="M82" s="5"/>
      <c r="N82" s="29"/>
      <c r="O82" s="29"/>
      <c r="P82" s="29"/>
      <c r="Q82" s="29"/>
      <c r="R82" s="29"/>
      <c r="S82" s="29"/>
      <c r="T82" s="29"/>
      <c r="U82" s="29"/>
      <c r="V82" s="29"/>
      <c r="W82" s="29"/>
      <c r="X82" s="29"/>
      <c r="Y82" s="29"/>
      <c r="Z82" s="29"/>
      <c r="AA82" s="29"/>
      <c r="AB82" s="29"/>
      <c r="AC82" s="29"/>
      <c r="AD82" s="29"/>
      <c r="AE82" s="29"/>
    </row>
    <row r="83">
      <c r="A83" s="7" t="s">
        <v>381</v>
      </c>
      <c r="B83" s="7" t="s">
        <v>190</v>
      </c>
      <c r="C83" s="7" t="s">
        <v>191</v>
      </c>
      <c r="D83" s="7" t="s">
        <v>69</v>
      </c>
      <c r="E83" s="23">
        <v>35.0</v>
      </c>
      <c r="F83" s="7" t="s">
        <v>382</v>
      </c>
      <c r="G83" s="7" t="s">
        <v>383</v>
      </c>
      <c r="H83" s="7"/>
      <c r="I83" s="7"/>
      <c r="J83" s="40"/>
      <c r="K83" s="7"/>
      <c r="L83" s="29"/>
      <c r="M83" s="5"/>
      <c r="N83" s="29"/>
      <c r="O83" s="29"/>
      <c r="P83" s="29"/>
      <c r="Q83" s="29"/>
      <c r="R83" s="29"/>
      <c r="S83" s="29"/>
      <c r="T83" s="29"/>
      <c r="U83" s="29"/>
      <c r="V83" s="29"/>
      <c r="W83" s="29"/>
      <c r="X83" s="29"/>
      <c r="Y83" s="29"/>
      <c r="Z83" s="29"/>
      <c r="AA83" s="29"/>
      <c r="AB83" s="29"/>
      <c r="AC83" s="29"/>
      <c r="AD83" s="29"/>
      <c r="AE83" s="29"/>
    </row>
    <row r="84">
      <c r="A84" s="7" t="s">
        <v>381</v>
      </c>
      <c r="B84" s="37" t="s">
        <v>190</v>
      </c>
      <c r="C84" s="37" t="s">
        <v>191</v>
      </c>
      <c r="D84" s="37" t="s">
        <v>70</v>
      </c>
      <c r="E84" s="23">
        <v>35.0</v>
      </c>
      <c r="F84" s="37" t="s">
        <v>382</v>
      </c>
      <c r="G84" s="7"/>
      <c r="H84" s="7"/>
      <c r="I84" s="7"/>
      <c r="J84" s="40"/>
      <c r="K84" s="7"/>
      <c r="L84" s="29"/>
      <c r="M84" s="5"/>
      <c r="N84" s="29"/>
      <c r="O84" s="29"/>
      <c r="P84" s="29"/>
      <c r="Q84" s="29"/>
      <c r="R84" s="29"/>
      <c r="S84" s="29"/>
      <c r="T84" s="29"/>
      <c r="U84" s="29"/>
      <c r="V84" s="29"/>
      <c r="W84" s="29"/>
      <c r="X84" s="29"/>
      <c r="Y84" s="29"/>
      <c r="Z84" s="29"/>
      <c r="AA84" s="29"/>
      <c r="AB84" s="29"/>
      <c r="AC84" s="29"/>
      <c r="AD84" s="29"/>
      <c r="AE84" s="29"/>
    </row>
    <row r="85">
      <c r="A85" s="7" t="s">
        <v>381</v>
      </c>
      <c r="B85" s="7" t="s">
        <v>190</v>
      </c>
      <c r="C85" s="7" t="s">
        <v>191</v>
      </c>
      <c r="D85" s="7" t="s">
        <v>62</v>
      </c>
      <c r="E85" s="23">
        <v>35.0</v>
      </c>
      <c r="F85" s="7" t="s">
        <v>384</v>
      </c>
      <c r="G85" s="7"/>
      <c r="H85" s="7"/>
      <c r="I85" s="7"/>
      <c r="J85" s="40"/>
      <c r="K85" s="7"/>
      <c r="L85" s="29"/>
      <c r="M85" s="5"/>
      <c r="N85" s="29"/>
      <c r="O85" s="29"/>
      <c r="P85" s="29"/>
      <c r="Q85" s="29"/>
      <c r="R85" s="29"/>
      <c r="S85" s="29"/>
      <c r="T85" s="29"/>
      <c r="U85" s="29"/>
      <c r="V85" s="29"/>
      <c r="W85" s="29"/>
      <c r="X85" s="29"/>
      <c r="Y85" s="29"/>
      <c r="Z85" s="29"/>
      <c r="AA85" s="29"/>
      <c r="AB85" s="29"/>
      <c r="AC85" s="29"/>
      <c r="AD85" s="29"/>
      <c r="AE85" s="29"/>
    </row>
    <row r="86">
      <c r="A86" s="7" t="s">
        <v>381</v>
      </c>
      <c r="B86" s="7" t="s">
        <v>190</v>
      </c>
      <c r="C86" s="7" t="s">
        <v>191</v>
      </c>
      <c r="D86" s="7" t="s">
        <v>52</v>
      </c>
      <c r="E86" s="23">
        <v>35.0</v>
      </c>
      <c r="F86" s="7" t="s">
        <v>385</v>
      </c>
      <c r="G86" s="7"/>
      <c r="H86" s="7"/>
      <c r="I86" s="7"/>
      <c r="J86" s="40"/>
      <c r="K86" s="7"/>
      <c r="L86" s="29"/>
      <c r="M86" s="5"/>
      <c r="N86" s="29"/>
      <c r="O86" s="29"/>
      <c r="P86" s="29"/>
      <c r="Q86" s="29"/>
      <c r="R86" s="29"/>
      <c r="S86" s="29"/>
      <c r="T86" s="29"/>
      <c r="U86" s="29"/>
      <c r="V86" s="29"/>
      <c r="W86" s="29"/>
      <c r="X86" s="29"/>
      <c r="Y86" s="29"/>
      <c r="Z86" s="29"/>
      <c r="AA86" s="29"/>
      <c r="AB86" s="29"/>
      <c r="AC86" s="29"/>
      <c r="AD86" s="29"/>
      <c r="AE86" s="29"/>
    </row>
    <row r="87">
      <c r="A87" s="7" t="s">
        <v>144</v>
      </c>
      <c r="B87" s="7" t="s">
        <v>238</v>
      </c>
      <c r="C87" s="7" t="s">
        <v>191</v>
      </c>
      <c r="D87" s="7" t="s">
        <v>144</v>
      </c>
      <c r="E87" s="23">
        <v>26.0</v>
      </c>
      <c r="F87" s="7" t="s">
        <v>386</v>
      </c>
      <c r="G87" s="7"/>
      <c r="H87" s="7"/>
      <c r="I87" s="7"/>
      <c r="J87" s="40"/>
      <c r="K87" s="7"/>
      <c r="L87" s="29"/>
      <c r="M87" s="5"/>
      <c r="N87" s="29"/>
      <c r="O87" s="29"/>
      <c r="P87" s="29"/>
      <c r="Q87" s="29"/>
      <c r="R87" s="29"/>
      <c r="S87" s="29"/>
      <c r="T87" s="29"/>
      <c r="U87" s="29"/>
      <c r="V87" s="29"/>
      <c r="W87" s="29"/>
      <c r="X87" s="29"/>
      <c r="Y87" s="29"/>
      <c r="Z87" s="29"/>
      <c r="AA87" s="29"/>
      <c r="AB87" s="29"/>
      <c r="AC87" s="29"/>
      <c r="AD87" s="29"/>
      <c r="AE87" s="29"/>
    </row>
    <row r="88">
      <c r="A88" s="7" t="s">
        <v>387</v>
      </c>
      <c r="B88" s="7" t="s">
        <v>204</v>
      </c>
      <c r="C88" s="7" t="s">
        <v>191</v>
      </c>
      <c r="D88" s="7" t="s">
        <v>205</v>
      </c>
      <c r="E88" s="23">
        <v>11.0</v>
      </c>
      <c r="F88" s="7" t="s">
        <v>388</v>
      </c>
      <c r="G88" s="7"/>
      <c r="H88" s="7"/>
      <c r="I88" s="7"/>
      <c r="J88" s="40"/>
      <c r="K88" s="40"/>
      <c r="L88" s="29"/>
      <c r="M88" s="5"/>
      <c r="N88" s="29"/>
      <c r="O88" s="29"/>
      <c r="P88" s="29"/>
      <c r="Q88" s="29"/>
      <c r="R88" s="29"/>
      <c r="S88" s="29"/>
      <c r="T88" s="29"/>
      <c r="U88" s="29"/>
      <c r="V88" s="29"/>
      <c r="W88" s="29"/>
      <c r="X88" s="29"/>
      <c r="Y88" s="29"/>
      <c r="Z88" s="29"/>
      <c r="AA88" s="29"/>
      <c r="AB88" s="29"/>
      <c r="AC88" s="29"/>
      <c r="AD88" s="29"/>
      <c r="AE88" s="29"/>
    </row>
    <row r="89">
      <c r="A89" s="7" t="s">
        <v>389</v>
      </c>
      <c r="B89" s="7" t="s">
        <v>190</v>
      </c>
      <c r="C89" s="7" t="s">
        <v>191</v>
      </c>
      <c r="D89" s="7" t="s">
        <v>84</v>
      </c>
      <c r="E89" s="23">
        <v>30.0</v>
      </c>
      <c r="F89" s="7" t="s">
        <v>390</v>
      </c>
      <c r="G89" s="7"/>
      <c r="H89" s="7"/>
      <c r="I89" s="7"/>
      <c r="J89" s="40"/>
      <c r="K89" s="40"/>
      <c r="L89" s="29"/>
      <c r="M89" s="5"/>
      <c r="N89" s="29"/>
      <c r="O89" s="29"/>
      <c r="P89" s="29"/>
      <c r="Q89" s="29"/>
      <c r="R89" s="29"/>
      <c r="S89" s="29"/>
      <c r="T89" s="29"/>
      <c r="U89" s="29"/>
      <c r="V89" s="29"/>
      <c r="W89" s="29"/>
      <c r="X89" s="29"/>
      <c r="Y89" s="29"/>
      <c r="Z89" s="29"/>
      <c r="AA89" s="29"/>
      <c r="AB89" s="29"/>
      <c r="AC89" s="29"/>
      <c r="AD89" s="29"/>
      <c r="AE89" s="29"/>
    </row>
    <row r="90">
      <c r="A90" s="7" t="s">
        <v>391</v>
      </c>
      <c r="B90" s="7" t="s">
        <v>190</v>
      </c>
      <c r="C90" s="7" t="s">
        <v>191</v>
      </c>
      <c r="D90" s="7" t="s">
        <v>42</v>
      </c>
      <c r="E90" s="23">
        <v>36.0</v>
      </c>
      <c r="F90" s="7" t="s">
        <v>392</v>
      </c>
      <c r="G90" s="7" t="s">
        <v>393</v>
      </c>
      <c r="H90" s="7"/>
      <c r="I90" s="7"/>
      <c r="J90" s="40"/>
      <c r="K90" s="40"/>
      <c r="L90" s="29"/>
      <c r="M90" s="5"/>
      <c r="N90" s="29"/>
      <c r="O90" s="29"/>
      <c r="P90" s="29"/>
      <c r="Q90" s="29"/>
      <c r="R90" s="29"/>
      <c r="S90" s="29"/>
      <c r="T90" s="29"/>
      <c r="U90" s="29"/>
      <c r="V90" s="29"/>
      <c r="W90" s="29"/>
      <c r="X90" s="29"/>
      <c r="Y90" s="29"/>
      <c r="Z90" s="29"/>
      <c r="AA90" s="29"/>
      <c r="AB90" s="29"/>
      <c r="AC90" s="29"/>
      <c r="AD90" s="29"/>
      <c r="AE90" s="29"/>
    </row>
    <row r="91">
      <c r="A91" s="43" t="s">
        <v>394</v>
      </c>
      <c r="B91" s="7" t="s">
        <v>190</v>
      </c>
      <c r="C91" s="7" t="s">
        <v>191</v>
      </c>
      <c r="D91" s="7" t="s">
        <v>72</v>
      </c>
      <c r="E91" s="23">
        <v>37.0</v>
      </c>
      <c r="F91" s="7" t="s">
        <v>395</v>
      </c>
      <c r="G91" s="7" t="s">
        <v>396</v>
      </c>
      <c r="H91" s="7"/>
      <c r="I91" s="7"/>
      <c r="J91" s="40"/>
      <c r="K91" s="7"/>
      <c r="L91" s="29"/>
      <c r="M91" s="5"/>
      <c r="N91" s="29"/>
      <c r="O91" s="29"/>
      <c r="P91" s="29"/>
      <c r="Q91" s="29"/>
      <c r="R91" s="29"/>
      <c r="S91" s="29"/>
      <c r="T91" s="29"/>
      <c r="U91" s="29"/>
      <c r="V91" s="29"/>
      <c r="W91" s="29"/>
      <c r="X91" s="29"/>
      <c r="Y91" s="29"/>
      <c r="Z91" s="29"/>
      <c r="AA91" s="29"/>
      <c r="AB91" s="29"/>
      <c r="AC91" s="29"/>
      <c r="AD91" s="29"/>
      <c r="AE91" s="29"/>
    </row>
    <row r="92">
      <c r="A92" s="43" t="s">
        <v>397</v>
      </c>
      <c r="B92" s="7" t="s">
        <v>190</v>
      </c>
      <c r="C92" s="7" t="s">
        <v>191</v>
      </c>
      <c r="D92" s="7" t="s">
        <v>87</v>
      </c>
      <c r="E92" s="23">
        <v>37.0</v>
      </c>
      <c r="F92" s="7" t="s">
        <v>398</v>
      </c>
      <c r="G92" s="7" t="s">
        <v>399</v>
      </c>
      <c r="H92" s="7"/>
      <c r="I92" s="7"/>
      <c r="J92" s="40"/>
      <c r="K92" s="7"/>
      <c r="L92" s="29"/>
      <c r="M92" s="5"/>
      <c r="N92" s="29"/>
      <c r="O92" s="29"/>
      <c r="P92" s="29"/>
      <c r="Q92" s="29"/>
      <c r="R92" s="29"/>
      <c r="S92" s="29"/>
      <c r="T92" s="29"/>
      <c r="U92" s="29"/>
      <c r="V92" s="29"/>
      <c r="W92" s="29"/>
      <c r="X92" s="29"/>
      <c r="Y92" s="29"/>
      <c r="Z92" s="29"/>
      <c r="AA92" s="29"/>
      <c r="AB92" s="29"/>
      <c r="AC92" s="29"/>
      <c r="AD92" s="29"/>
      <c r="AE92" s="29"/>
    </row>
    <row r="93">
      <c r="A93" s="43" t="s">
        <v>400</v>
      </c>
      <c r="B93" s="7" t="s">
        <v>238</v>
      </c>
      <c r="C93" s="7" t="s">
        <v>239</v>
      </c>
      <c r="D93" s="7" t="s">
        <v>145</v>
      </c>
      <c r="E93" s="23">
        <v>27.0</v>
      </c>
      <c r="F93" s="7" t="s">
        <v>401</v>
      </c>
      <c r="G93" s="7" t="s">
        <v>402</v>
      </c>
      <c r="H93" s="7"/>
      <c r="I93" s="7"/>
      <c r="J93" s="40"/>
      <c r="K93" s="7"/>
      <c r="L93" s="29"/>
      <c r="M93" s="5"/>
      <c r="N93" s="29"/>
      <c r="O93" s="29"/>
      <c r="P93" s="29"/>
      <c r="Q93" s="29"/>
      <c r="R93" s="29"/>
      <c r="S93" s="29"/>
      <c r="T93" s="29"/>
      <c r="U93" s="29"/>
      <c r="V93" s="29"/>
      <c r="W93" s="29"/>
      <c r="X93" s="29"/>
      <c r="Y93" s="29"/>
      <c r="Z93" s="29"/>
      <c r="AA93" s="29"/>
      <c r="AB93" s="29"/>
      <c r="AC93" s="29"/>
      <c r="AD93" s="29"/>
      <c r="AE93" s="29"/>
    </row>
    <row r="94">
      <c r="A94" s="7" t="s">
        <v>403</v>
      </c>
      <c r="B94" s="7" t="s">
        <v>238</v>
      </c>
      <c r="C94" s="7" t="s">
        <v>239</v>
      </c>
      <c r="D94" s="7" t="s">
        <v>147</v>
      </c>
      <c r="E94" s="23">
        <v>27.0</v>
      </c>
      <c r="F94" s="7" t="s">
        <v>404</v>
      </c>
      <c r="G94" s="7" t="s">
        <v>405</v>
      </c>
      <c r="H94" s="44"/>
      <c r="I94" s="44"/>
      <c r="J94" s="44"/>
      <c r="K94" s="44"/>
      <c r="L94" s="29"/>
      <c r="M94" s="5"/>
      <c r="N94" s="29"/>
      <c r="O94" s="29"/>
      <c r="P94" s="29"/>
      <c r="Q94" s="29"/>
      <c r="R94" s="29"/>
      <c r="S94" s="29"/>
      <c r="T94" s="29"/>
      <c r="U94" s="29"/>
      <c r="V94" s="29"/>
      <c r="W94" s="29"/>
      <c r="X94" s="29"/>
      <c r="Y94" s="29"/>
      <c r="Z94" s="29"/>
      <c r="AA94" s="29"/>
      <c r="AB94" s="29"/>
      <c r="AC94" s="29"/>
      <c r="AD94" s="29"/>
      <c r="AE94" s="29"/>
    </row>
    <row r="95">
      <c r="A95" s="7" t="s">
        <v>406</v>
      </c>
      <c r="B95" s="7" t="s">
        <v>190</v>
      </c>
      <c r="C95" s="7" t="s">
        <v>191</v>
      </c>
      <c r="D95" s="7" t="s">
        <v>66</v>
      </c>
      <c r="E95" s="23">
        <v>37.0</v>
      </c>
      <c r="F95" s="7" t="s">
        <v>407</v>
      </c>
      <c r="G95" s="7" t="s">
        <v>408</v>
      </c>
      <c r="H95" s="44"/>
      <c r="I95" s="44"/>
      <c r="J95" s="44"/>
      <c r="K95" s="44"/>
      <c r="L95" s="29"/>
      <c r="M95" s="5"/>
      <c r="N95" s="29"/>
      <c r="O95" s="29"/>
      <c r="P95" s="29"/>
      <c r="Q95" s="29"/>
      <c r="R95" s="29"/>
      <c r="S95" s="29"/>
      <c r="T95" s="29"/>
      <c r="U95" s="29"/>
      <c r="V95" s="29"/>
      <c r="W95" s="29"/>
      <c r="X95" s="29"/>
      <c r="Y95" s="29"/>
      <c r="Z95" s="29"/>
      <c r="AA95" s="29"/>
      <c r="AB95" s="29"/>
      <c r="AC95" s="29"/>
      <c r="AD95" s="29"/>
      <c r="AE95" s="29"/>
    </row>
    <row r="96">
      <c r="A96" s="7" t="s">
        <v>409</v>
      </c>
      <c r="B96" s="7" t="s">
        <v>238</v>
      </c>
      <c r="C96" s="7" t="s">
        <v>239</v>
      </c>
      <c r="D96" s="7" t="s">
        <v>149</v>
      </c>
      <c r="E96" s="23">
        <v>25.0</v>
      </c>
      <c r="F96" s="7" t="s">
        <v>410</v>
      </c>
      <c r="G96" s="7"/>
      <c r="H96" s="44"/>
      <c r="I96" s="44"/>
      <c r="J96" s="44"/>
      <c r="K96" s="44"/>
      <c r="L96" s="29"/>
      <c r="M96" s="5"/>
      <c r="N96" s="29"/>
      <c r="O96" s="29"/>
      <c r="P96" s="29"/>
      <c r="Q96" s="29"/>
      <c r="R96" s="29"/>
      <c r="S96" s="29"/>
      <c r="T96" s="29"/>
      <c r="U96" s="29"/>
      <c r="V96" s="29"/>
      <c r="W96" s="29"/>
      <c r="X96" s="29"/>
      <c r="Y96" s="29"/>
      <c r="Z96" s="29"/>
      <c r="AA96" s="29"/>
      <c r="AB96" s="29"/>
      <c r="AC96" s="29"/>
      <c r="AD96" s="29"/>
      <c r="AE96" s="29"/>
    </row>
    <row r="97">
      <c r="A97" s="7" t="s">
        <v>411</v>
      </c>
      <c r="B97" s="7" t="s">
        <v>190</v>
      </c>
      <c r="C97" s="7" t="s">
        <v>191</v>
      </c>
      <c r="D97" s="7" t="s">
        <v>87</v>
      </c>
      <c r="E97" s="23">
        <v>30.0</v>
      </c>
      <c r="F97" s="7" t="s">
        <v>412</v>
      </c>
      <c r="G97" s="7" t="s">
        <v>413</v>
      </c>
      <c r="H97" s="44"/>
      <c r="I97" s="44"/>
      <c r="J97" s="44"/>
      <c r="K97" s="44"/>
      <c r="L97" s="29"/>
      <c r="M97" s="5"/>
      <c r="N97" s="29"/>
      <c r="O97" s="29"/>
      <c r="P97" s="29"/>
      <c r="Q97" s="29"/>
      <c r="R97" s="29"/>
      <c r="S97" s="29"/>
      <c r="T97" s="29"/>
      <c r="U97" s="29"/>
      <c r="V97" s="29"/>
      <c r="W97" s="29"/>
      <c r="X97" s="29"/>
      <c r="Y97" s="29"/>
      <c r="Z97" s="29"/>
      <c r="AA97" s="29"/>
      <c r="AB97" s="29"/>
      <c r="AC97" s="29"/>
      <c r="AD97" s="29"/>
      <c r="AE97" s="29"/>
    </row>
    <row r="98">
      <c r="A98" s="7" t="s">
        <v>414</v>
      </c>
      <c r="B98" s="7" t="s">
        <v>190</v>
      </c>
      <c r="C98" s="7" t="s">
        <v>191</v>
      </c>
      <c r="D98" s="7" t="s">
        <v>81</v>
      </c>
      <c r="E98" s="23">
        <v>30.0</v>
      </c>
      <c r="F98" s="7" t="s">
        <v>415</v>
      </c>
      <c r="G98" s="7" t="s">
        <v>416</v>
      </c>
      <c r="H98" s="44"/>
      <c r="I98" s="44"/>
      <c r="J98" s="44"/>
      <c r="K98" s="44"/>
      <c r="L98" s="29"/>
      <c r="M98" s="5"/>
      <c r="N98" s="29"/>
      <c r="O98" s="29"/>
      <c r="P98" s="29"/>
      <c r="Q98" s="29"/>
      <c r="R98" s="29"/>
      <c r="S98" s="29"/>
      <c r="T98" s="29"/>
      <c r="U98" s="29"/>
      <c r="V98" s="29"/>
      <c r="W98" s="29"/>
      <c r="X98" s="29"/>
      <c r="Y98" s="29"/>
      <c r="Z98" s="29"/>
      <c r="AA98" s="29"/>
      <c r="AB98" s="29"/>
      <c r="AC98" s="29"/>
      <c r="AD98" s="29"/>
      <c r="AE98" s="29"/>
    </row>
    <row r="99">
      <c r="A99" s="7" t="s">
        <v>417</v>
      </c>
      <c r="B99" s="7" t="s">
        <v>190</v>
      </c>
      <c r="C99" s="7" t="s">
        <v>191</v>
      </c>
      <c r="D99" s="7" t="s">
        <v>67</v>
      </c>
      <c r="E99" s="23">
        <v>30.0</v>
      </c>
      <c r="F99" s="7" t="s">
        <v>418</v>
      </c>
      <c r="G99" s="7" t="s">
        <v>419</v>
      </c>
      <c r="H99" s="44"/>
      <c r="I99" s="44"/>
      <c r="J99" s="44"/>
      <c r="K99" s="44"/>
      <c r="L99" s="29"/>
      <c r="M99" s="5"/>
      <c r="N99" s="29"/>
      <c r="O99" s="29"/>
      <c r="P99" s="29"/>
      <c r="Q99" s="29"/>
      <c r="R99" s="29"/>
      <c r="S99" s="29"/>
      <c r="T99" s="29"/>
      <c r="U99" s="29"/>
      <c r="V99" s="29"/>
      <c r="W99" s="29"/>
      <c r="X99" s="29"/>
      <c r="Y99" s="29"/>
      <c r="Z99" s="29"/>
      <c r="AA99" s="29"/>
      <c r="AB99" s="29"/>
      <c r="AC99" s="29"/>
      <c r="AD99" s="29"/>
      <c r="AE99" s="29"/>
    </row>
    <row r="100">
      <c r="A100" s="7" t="s">
        <v>420</v>
      </c>
      <c r="B100" s="7" t="s">
        <v>190</v>
      </c>
      <c r="C100" s="7" t="s">
        <v>191</v>
      </c>
      <c r="D100" s="7" t="s">
        <v>81</v>
      </c>
      <c r="E100" s="23">
        <v>36.0</v>
      </c>
      <c r="F100" s="7" t="s">
        <v>421</v>
      </c>
      <c r="G100" s="7" t="s">
        <v>422</v>
      </c>
      <c r="H100" s="44"/>
      <c r="I100" s="44"/>
      <c r="J100" s="44"/>
      <c r="K100" s="44"/>
      <c r="L100" s="29"/>
      <c r="M100" s="29"/>
      <c r="N100" s="29"/>
      <c r="O100" s="29"/>
      <c r="P100" s="29"/>
      <c r="Q100" s="29"/>
      <c r="R100" s="29"/>
      <c r="S100" s="29"/>
      <c r="T100" s="29"/>
      <c r="U100" s="29"/>
      <c r="V100" s="29"/>
      <c r="W100" s="29"/>
      <c r="X100" s="29"/>
      <c r="Y100" s="29"/>
      <c r="Z100" s="29"/>
      <c r="AA100" s="29"/>
      <c r="AB100" s="29"/>
      <c r="AC100" s="29"/>
      <c r="AD100" s="29"/>
      <c r="AE100" s="29"/>
    </row>
    <row r="101">
      <c r="A101" s="7" t="s">
        <v>423</v>
      </c>
      <c r="B101" s="7" t="s">
        <v>190</v>
      </c>
      <c r="C101" s="7" t="s">
        <v>191</v>
      </c>
      <c r="D101" s="7" t="s">
        <v>74</v>
      </c>
      <c r="E101" s="23">
        <v>30.0</v>
      </c>
      <c r="F101" s="7" t="s">
        <v>424</v>
      </c>
      <c r="G101" s="7"/>
      <c r="H101" s="44"/>
      <c r="I101" s="44"/>
      <c r="J101" s="44"/>
      <c r="K101" s="44"/>
      <c r="L101" s="29"/>
      <c r="M101" s="29"/>
      <c r="N101" s="29"/>
      <c r="O101" s="29"/>
      <c r="P101" s="29"/>
      <c r="Q101" s="29"/>
      <c r="R101" s="29"/>
      <c r="S101" s="29"/>
      <c r="T101" s="29"/>
      <c r="U101" s="29"/>
      <c r="V101" s="29"/>
      <c r="W101" s="29"/>
      <c r="X101" s="29"/>
      <c r="Y101" s="29"/>
      <c r="Z101" s="29"/>
      <c r="AA101" s="29"/>
      <c r="AB101" s="29"/>
      <c r="AC101" s="29"/>
      <c r="AD101" s="29"/>
      <c r="AE101" s="29"/>
    </row>
    <row r="102">
      <c r="A102" s="7" t="s">
        <v>425</v>
      </c>
      <c r="B102" s="7" t="s">
        <v>238</v>
      </c>
      <c r="C102" s="7" t="s">
        <v>239</v>
      </c>
      <c r="D102" s="7" t="s">
        <v>151</v>
      </c>
      <c r="E102" s="23">
        <v>25.0</v>
      </c>
      <c r="F102" s="7" t="s">
        <v>426</v>
      </c>
      <c r="G102" s="7" t="s">
        <v>427</v>
      </c>
      <c r="H102" s="44"/>
      <c r="I102" s="44"/>
      <c r="J102" s="44"/>
      <c r="K102" s="44"/>
      <c r="L102" s="29"/>
      <c r="M102" s="29"/>
      <c r="N102" s="29"/>
      <c r="O102" s="29"/>
      <c r="P102" s="29"/>
      <c r="Q102" s="29"/>
      <c r="R102" s="29"/>
      <c r="S102" s="29"/>
      <c r="T102" s="29"/>
      <c r="U102" s="29"/>
      <c r="V102" s="29"/>
      <c r="W102" s="29"/>
      <c r="X102" s="29"/>
      <c r="Y102" s="29"/>
      <c r="Z102" s="29"/>
      <c r="AA102" s="29"/>
      <c r="AB102" s="29"/>
      <c r="AC102" s="29"/>
      <c r="AD102" s="29"/>
      <c r="AE102" s="29"/>
    </row>
    <row r="103">
      <c r="A103" s="7" t="s">
        <v>428</v>
      </c>
      <c r="B103" s="7" t="s">
        <v>238</v>
      </c>
      <c r="C103" s="7" t="s">
        <v>239</v>
      </c>
      <c r="D103" s="7" t="s">
        <v>153</v>
      </c>
      <c r="E103" s="23">
        <v>25.0</v>
      </c>
      <c r="F103" s="7" t="s">
        <v>429</v>
      </c>
      <c r="G103" s="7" t="s">
        <v>430</v>
      </c>
      <c r="H103" s="44"/>
      <c r="I103" s="44"/>
      <c r="J103" s="44"/>
      <c r="K103" s="44"/>
      <c r="L103" s="29"/>
      <c r="M103" s="29"/>
      <c r="N103" s="29"/>
      <c r="O103" s="29"/>
      <c r="P103" s="29"/>
      <c r="Q103" s="29"/>
      <c r="R103" s="29"/>
      <c r="S103" s="29"/>
      <c r="T103" s="29"/>
      <c r="U103" s="29"/>
      <c r="V103" s="29"/>
      <c r="W103" s="29"/>
      <c r="X103" s="29"/>
      <c r="Y103" s="29"/>
      <c r="Z103" s="29"/>
      <c r="AA103" s="29"/>
      <c r="AB103" s="29"/>
      <c r="AC103" s="29"/>
      <c r="AD103" s="29"/>
      <c r="AE103" s="29"/>
    </row>
    <row r="104">
      <c r="A104" s="7" t="s">
        <v>431</v>
      </c>
      <c r="B104" s="7" t="s">
        <v>238</v>
      </c>
      <c r="C104" s="7" t="s">
        <v>239</v>
      </c>
      <c r="D104" s="7" t="s">
        <v>155</v>
      </c>
      <c r="E104" s="23">
        <v>27.0</v>
      </c>
      <c r="F104" s="7" t="s">
        <v>432</v>
      </c>
      <c r="G104" s="7"/>
      <c r="H104" s="44"/>
      <c r="I104" s="44"/>
      <c r="J104" s="44"/>
      <c r="K104" s="44"/>
      <c r="L104" s="29"/>
      <c r="M104" s="29"/>
      <c r="N104" s="29"/>
      <c r="O104" s="29"/>
      <c r="P104" s="29"/>
      <c r="Q104" s="29"/>
      <c r="R104" s="29"/>
      <c r="S104" s="29"/>
      <c r="T104" s="29"/>
      <c r="U104" s="29"/>
      <c r="V104" s="29"/>
      <c r="W104" s="29"/>
      <c r="X104" s="29"/>
      <c r="Y104" s="29"/>
      <c r="Z104" s="29"/>
      <c r="AA104" s="29"/>
      <c r="AB104" s="29"/>
      <c r="AC104" s="29"/>
      <c r="AD104" s="29"/>
      <c r="AE104" s="29"/>
    </row>
    <row r="105">
      <c r="A105" s="7" t="s">
        <v>433</v>
      </c>
      <c r="B105" s="7" t="s">
        <v>190</v>
      </c>
      <c r="C105" s="7" t="s">
        <v>191</v>
      </c>
      <c r="D105" s="7" t="s">
        <v>84</v>
      </c>
      <c r="E105" s="23">
        <v>36.0</v>
      </c>
      <c r="F105" s="7" t="s">
        <v>434</v>
      </c>
      <c r="G105" s="45" t="s">
        <v>435</v>
      </c>
      <c r="H105" s="44"/>
      <c r="I105" s="44"/>
      <c r="J105" s="44"/>
      <c r="K105" s="44"/>
      <c r="L105" s="29"/>
      <c r="M105" s="29"/>
      <c r="N105" s="29"/>
      <c r="O105" s="29"/>
      <c r="P105" s="29"/>
      <c r="Q105" s="29"/>
      <c r="R105" s="29"/>
      <c r="S105" s="29"/>
      <c r="T105" s="29"/>
      <c r="U105" s="29"/>
      <c r="V105" s="29"/>
      <c r="W105" s="29"/>
      <c r="X105" s="29"/>
      <c r="Y105" s="29"/>
      <c r="Z105" s="29"/>
      <c r="AA105" s="29"/>
      <c r="AB105" s="29"/>
      <c r="AC105" s="29"/>
      <c r="AD105" s="29"/>
      <c r="AE105" s="29"/>
    </row>
    <row r="106">
      <c r="A106" s="7" t="s">
        <v>436</v>
      </c>
      <c r="B106" s="7" t="s">
        <v>190</v>
      </c>
      <c r="C106" s="7" t="s">
        <v>191</v>
      </c>
      <c r="D106" s="7" t="s">
        <v>83</v>
      </c>
      <c r="E106" s="23">
        <v>36.0</v>
      </c>
      <c r="F106" s="7" t="s">
        <v>437</v>
      </c>
      <c r="G106" s="7" t="s">
        <v>438</v>
      </c>
      <c r="H106" s="44"/>
      <c r="I106" s="44"/>
      <c r="J106" s="44"/>
      <c r="K106" s="44"/>
      <c r="L106" s="29"/>
      <c r="M106" s="29"/>
      <c r="N106" s="29"/>
      <c r="O106" s="29"/>
      <c r="P106" s="29"/>
      <c r="Q106" s="29"/>
      <c r="R106" s="29"/>
      <c r="S106" s="29"/>
      <c r="T106" s="29"/>
      <c r="U106" s="29"/>
      <c r="V106" s="29"/>
      <c r="W106" s="29"/>
      <c r="X106" s="29"/>
      <c r="Y106" s="29"/>
      <c r="Z106" s="29"/>
      <c r="AA106" s="29"/>
      <c r="AB106" s="29"/>
      <c r="AC106" s="29"/>
      <c r="AD106" s="29"/>
      <c r="AE106" s="29"/>
    </row>
    <row r="107">
      <c r="A107" s="23" t="s">
        <v>439</v>
      </c>
      <c r="B107" s="23" t="s">
        <v>190</v>
      </c>
      <c r="C107" s="23" t="s">
        <v>191</v>
      </c>
      <c r="D107" s="23" t="s">
        <v>82</v>
      </c>
      <c r="E107" s="23">
        <v>30.0</v>
      </c>
      <c r="F107" s="23" t="s">
        <v>440</v>
      </c>
      <c r="G107" s="23" t="s">
        <v>441</v>
      </c>
      <c r="H107" s="46"/>
      <c r="I107" s="46"/>
      <c r="J107" s="46"/>
      <c r="K107" s="46"/>
      <c r="L107" s="35"/>
      <c r="M107" s="35"/>
      <c r="N107" s="35"/>
      <c r="O107" s="35"/>
      <c r="P107" s="35"/>
      <c r="Q107" s="35"/>
      <c r="R107" s="35"/>
      <c r="S107" s="35"/>
      <c r="T107" s="35"/>
      <c r="U107" s="35"/>
      <c r="V107" s="35"/>
      <c r="W107" s="35"/>
      <c r="X107" s="35"/>
      <c r="Y107" s="35"/>
      <c r="Z107" s="35"/>
      <c r="AA107" s="35"/>
      <c r="AB107" s="35"/>
      <c r="AC107" s="35"/>
      <c r="AD107" s="35"/>
      <c r="AE107" s="35"/>
    </row>
    <row r="108">
      <c r="A108" s="23" t="s">
        <v>442</v>
      </c>
      <c r="B108" s="23" t="s">
        <v>190</v>
      </c>
      <c r="C108" s="23" t="s">
        <v>191</v>
      </c>
      <c r="D108" s="23" t="s">
        <v>88</v>
      </c>
      <c r="E108" s="23">
        <v>30.0</v>
      </c>
      <c r="F108" s="23" t="s">
        <v>443</v>
      </c>
      <c r="G108" s="23" t="s">
        <v>444</v>
      </c>
      <c r="H108" s="46"/>
      <c r="I108" s="46"/>
      <c r="J108" s="46"/>
      <c r="K108" s="46"/>
      <c r="L108" s="35"/>
      <c r="M108" s="35"/>
      <c r="N108" s="35"/>
      <c r="O108" s="35"/>
      <c r="P108" s="35"/>
      <c r="Q108" s="35"/>
      <c r="R108" s="35"/>
      <c r="S108" s="35"/>
      <c r="T108" s="35"/>
      <c r="U108" s="35"/>
      <c r="V108" s="35"/>
      <c r="W108" s="35"/>
      <c r="X108" s="35"/>
      <c r="Y108" s="35"/>
      <c r="Z108" s="35"/>
      <c r="AA108" s="35"/>
      <c r="AB108" s="35"/>
      <c r="AC108" s="35"/>
      <c r="AD108" s="35"/>
      <c r="AE108" s="35"/>
    </row>
    <row r="109">
      <c r="A109" s="23" t="s">
        <v>445</v>
      </c>
      <c r="B109" s="23" t="s">
        <v>190</v>
      </c>
      <c r="C109" s="23" t="s">
        <v>191</v>
      </c>
      <c r="D109" s="23" t="s">
        <v>16</v>
      </c>
      <c r="E109" s="23">
        <v>37.0</v>
      </c>
      <c r="F109" s="23" t="s">
        <v>446</v>
      </c>
      <c r="G109" s="23" t="s">
        <v>447</v>
      </c>
      <c r="H109" s="46"/>
      <c r="I109" s="46"/>
      <c r="J109" s="46"/>
      <c r="K109" s="46"/>
      <c r="L109" s="35"/>
      <c r="M109" s="35"/>
      <c r="N109" s="35"/>
      <c r="O109" s="35"/>
      <c r="P109" s="35"/>
      <c r="Q109" s="35"/>
      <c r="R109" s="35"/>
      <c r="S109" s="35"/>
      <c r="T109" s="35"/>
      <c r="U109" s="35"/>
      <c r="V109" s="35"/>
      <c r="W109" s="35"/>
      <c r="X109" s="35"/>
      <c r="Y109" s="35"/>
      <c r="Z109" s="35"/>
      <c r="AA109" s="35"/>
      <c r="AB109" s="35"/>
      <c r="AC109" s="35"/>
      <c r="AD109" s="35"/>
      <c r="AE109" s="35"/>
    </row>
    <row r="110">
      <c r="A110" s="23" t="s">
        <v>163</v>
      </c>
      <c r="B110" s="23" t="s">
        <v>238</v>
      </c>
      <c r="C110" s="23" t="s">
        <v>191</v>
      </c>
      <c r="D110" s="23" t="s">
        <v>163</v>
      </c>
      <c r="E110" s="23">
        <v>27.0</v>
      </c>
      <c r="F110" s="23" t="s">
        <v>448</v>
      </c>
      <c r="G110" s="23" t="s">
        <v>449</v>
      </c>
      <c r="H110" s="46"/>
      <c r="I110" s="46"/>
      <c r="J110" s="46"/>
      <c r="K110" s="46"/>
      <c r="L110" s="35"/>
      <c r="M110" s="35"/>
      <c r="N110" s="35"/>
      <c r="O110" s="35"/>
      <c r="P110" s="35"/>
      <c r="Q110" s="35"/>
      <c r="R110" s="35"/>
      <c r="S110" s="35"/>
      <c r="T110" s="35"/>
      <c r="U110" s="35"/>
      <c r="V110" s="35"/>
      <c r="W110" s="35"/>
      <c r="X110" s="35"/>
      <c r="Y110" s="35"/>
      <c r="Z110" s="35"/>
      <c r="AA110" s="35"/>
      <c r="AB110" s="35"/>
      <c r="AC110" s="35"/>
      <c r="AD110" s="35"/>
      <c r="AE110" s="35"/>
    </row>
    <row r="111">
      <c r="A111" s="23" t="s">
        <v>165</v>
      </c>
      <c r="B111" s="23" t="s">
        <v>238</v>
      </c>
      <c r="C111" s="23" t="s">
        <v>191</v>
      </c>
      <c r="D111" s="23" t="s">
        <v>165</v>
      </c>
      <c r="E111" s="23">
        <v>27.0</v>
      </c>
      <c r="F111" s="23" t="s">
        <v>450</v>
      </c>
      <c r="G111" s="23" t="s">
        <v>449</v>
      </c>
      <c r="H111" s="46"/>
      <c r="I111" s="46"/>
      <c r="J111" s="46"/>
      <c r="K111" s="46"/>
      <c r="L111" s="35"/>
      <c r="M111" s="35"/>
      <c r="N111" s="35"/>
      <c r="O111" s="35"/>
      <c r="P111" s="35"/>
      <c r="Q111" s="35"/>
      <c r="R111" s="35"/>
      <c r="S111" s="35"/>
      <c r="T111" s="35"/>
      <c r="U111" s="35"/>
      <c r="V111" s="35"/>
      <c r="W111" s="35"/>
      <c r="X111" s="35"/>
      <c r="Y111" s="35"/>
      <c r="Z111" s="35"/>
      <c r="AA111" s="35"/>
      <c r="AB111" s="35"/>
      <c r="AC111" s="35"/>
      <c r="AD111" s="35"/>
      <c r="AE111" s="35"/>
    </row>
    <row r="112">
      <c r="A112" s="23" t="s">
        <v>167</v>
      </c>
      <c r="B112" s="23" t="s">
        <v>238</v>
      </c>
      <c r="C112" s="23" t="s">
        <v>191</v>
      </c>
      <c r="D112" s="23" t="s">
        <v>167</v>
      </c>
      <c r="E112" s="23">
        <v>27.0</v>
      </c>
      <c r="F112" s="23" t="s">
        <v>451</v>
      </c>
      <c r="G112" s="23" t="s">
        <v>449</v>
      </c>
      <c r="H112" s="46"/>
      <c r="I112" s="46"/>
      <c r="J112" s="46"/>
      <c r="K112" s="46"/>
      <c r="L112" s="35"/>
      <c r="M112" s="35"/>
      <c r="N112" s="35"/>
      <c r="O112" s="35"/>
      <c r="P112" s="35"/>
      <c r="Q112" s="35"/>
      <c r="R112" s="35"/>
      <c r="S112" s="35"/>
      <c r="T112" s="35"/>
      <c r="U112" s="35"/>
      <c r="V112" s="35"/>
      <c r="W112" s="35"/>
      <c r="X112" s="35"/>
      <c r="Y112" s="35"/>
      <c r="Z112" s="35"/>
      <c r="AA112" s="35"/>
      <c r="AB112" s="35"/>
      <c r="AC112" s="35"/>
      <c r="AD112" s="35"/>
      <c r="AE112" s="35"/>
    </row>
    <row r="113">
      <c r="A113" s="23" t="s">
        <v>452</v>
      </c>
      <c r="B113" s="23" t="s">
        <v>190</v>
      </c>
      <c r="C113" s="23" t="s">
        <v>191</v>
      </c>
      <c r="D113" s="23" t="s">
        <v>80</v>
      </c>
      <c r="E113" s="23">
        <v>36.0</v>
      </c>
      <c r="F113" s="23" t="s">
        <v>453</v>
      </c>
      <c r="G113" s="23" t="s">
        <v>454</v>
      </c>
      <c r="H113" s="46"/>
      <c r="I113" s="46"/>
      <c r="J113" s="46"/>
      <c r="K113" s="46"/>
      <c r="L113" s="35"/>
      <c r="M113" s="35"/>
      <c r="N113" s="35"/>
      <c r="O113" s="35"/>
      <c r="P113" s="35"/>
      <c r="Q113" s="35"/>
      <c r="R113" s="35"/>
      <c r="S113" s="35"/>
      <c r="T113" s="35"/>
      <c r="U113" s="35"/>
      <c r="V113" s="35"/>
      <c r="W113" s="35"/>
      <c r="X113" s="35"/>
      <c r="Y113" s="35"/>
      <c r="Z113" s="35"/>
      <c r="AA113" s="35"/>
      <c r="AB113" s="35"/>
      <c r="AC113" s="35"/>
      <c r="AD113" s="35"/>
      <c r="AE113" s="35"/>
    </row>
    <row r="114">
      <c r="A114" s="23" t="s">
        <v>455</v>
      </c>
      <c r="B114" s="23" t="s">
        <v>190</v>
      </c>
      <c r="C114" s="23" t="s">
        <v>191</v>
      </c>
      <c r="D114" s="23" t="s">
        <v>68</v>
      </c>
      <c r="E114" s="23">
        <v>30.0</v>
      </c>
      <c r="F114" s="23" t="s">
        <v>456</v>
      </c>
      <c r="G114" s="23" t="s">
        <v>457</v>
      </c>
      <c r="H114" s="46"/>
      <c r="I114" s="46"/>
      <c r="J114" s="46"/>
      <c r="K114" s="46"/>
      <c r="L114" s="35"/>
      <c r="M114" s="35"/>
      <c r="N114" s="35"/>
      <c r="O114" s="35"/>
      <c r="P114" s="35"/>
      <c r="Q114" s="35"/>
      <c r="R114" s="35"/>
      <c r="S114" s="35"/>
      <c r="T114" s="35"/>
      <c r="U114" s="35"/>
      <c r="V114" s="35"/>
      <c r="W114" s="35"/>
      <c r="X114" s="35"/>
      <c r="Y114" s="35"/>
      <c r="Z114" s="35"/>
      <c r="AA114" s="35"/>
      <c r="AB114" s="35"/>
      <c r="AC114" s="35"/>
      <c r="AD114" s="35"/>
      <c r="AE114" s="35"/>
    </row>
    <row r="115">
      <c r="A115" s="23" t="s">
        <v>458</v>
      </c>
      <c r="B115" s="23" t="s">
        <v>190</v>
      </c>
      <c r="C115" s="23" t="s">
        <v>191</v>
      </c>
      <c r="D115" s="23" t="s">
        <v>55</v>
      </c>
      <c r="E115" s="23">
        <v>30.0</v>
      </c>
      <c r="F115" s="23" t="s">
        <v>459</v>
      </c>
      <c r="G115" s="23" t="s">
        <v>460</v>
      </c>
      <c r="H115" s="46"/>
      <c r="I115" s="46"/>
      <c r="J115" s="46"/>
      <c r="K115" s="46"/>
      <c r="L115" s="35"/>
      <c r="M115" s="35"/>
      <c r="N115" s="35"/>
      <c r="O115" s="35"/>
      <c r="P115" s="35"/>
      <c r="Q115" s="35"/>
      <c r="R115" s="35"/>
      <c r="S115" s="35"/>
      <c r="T115" s="35"/>
      <c r="U115" s="35"/>
      <c r="V115" s="35"/>
      <c r="W115" s="35"/>
      <c r="X115" s="35"/>
      <c r="Y115" s="35"/>
      <c r="Z115" s="35"/>
      <c r="AA115" s="35"/>
      <c r="AB115" s="35"/>
      <c r="AC115" s="35"/>
      <c r="AD115" s="35"/>
      <c r="AE115" s="35"/>
    </row>
    <row r="116">
      <c r="A116" s="23" t="s">
        <v>461</v>
      </c>
      <c r="B116" s="23" t="s">
        <v>238</v>
      </c>
      <c r="C116" s="23" t="s">
        <v>191</v>
      </c>
      <c r="D116" s="23" t="s">
        <v>157</v>
      </c>
      <c r="E116" s="23">
        <v>27.0</v>
      </c>
      <c r="F116" s="23" t="s">
        <v>462</v>
      </c>
      <c r="G116" s="23" t="s">
        <v>463</v>
      </c>
      <c r="H116" s="46"/>
      <c r="I116" s="46"/>
      <c r="J116" s="46"/>
      <c r="K116" s="46"/>
      <c r="L116" s="35"/>
      <c r="M116" s="35"/>
      <c r="N116" s="35"/>
      <c r="O116" s="35"/>
      <c r="P116" s="35"/>
      <c r="Q116" s="35"/>
      <c r="R116" s="35"/>
      <c r="S116" s="35"/>
      <c r="T116" s="35"/>
      <c r="U116" s="35"/>
      <c r="V116" s="35"/>
      <c r="W116" s="35"/>
      <c r="X116" s="35"/>
      <c r="Y116" s="35"/>
      <c r="Z116" s="35"/>
      <c r="AA116" s="35"/>
      <c r="AB116" s="35"/>
      <c r="AC116" s="35"/>
      <c r="AD116" s="35"/>
      <c r="AE116" s="35"/>
    </row>
    <row r="117">
      <c r="A117" s="23" t="s">
        <v>464</v>
      </c>
      <c r="B117" s="23" t="s">
        <v>190</v>
      </c>
      <c r="C117" s="23" t="s">
        <v>191</v>
      </c>
      <c r="D117" s="23" t="s">
        <v>61</v>
      </c>
      <c r="E117" s="23">
        <v>30.0</v>
      </c>
      <c r="F117" s="23" t="s">
        <v>465</v>
      </c>
      <c r="G117" s="23" t="s">
        <v>466</v>
      </c>
      <c r="H117" s="46"/>
      <c r="I117" s="46"/>
      <c r="J117" s="46"/>
      <c r="K117" s="46"/>
      <c r="L117" s="35"/>
      <c r="M117" s="35"/>
      <c r="N117" s="35"/>
      <c r="O117" s="35"/>
      <c r="P117" s="35"/>
      <c r="Q117" s="35"/>
      <c r="R117" s="35"/>
      <c r="S117" s="35"/>
      <c r="T117" s="35"/>
      <c r="U117" s="35"/>
      <c r="V117" s="35"/>
      <c r="W117" s="35"/>
      <c r="X117" s="35"/>
      <c r="Y117" s="35"/>
      <c r="Z117" s="35"/>
      <c r="AA117" s="35"/>
      <c r="AB117" s="35"/>
      <c r="AC117" s="35"/>
      <c r="AD117" s="35"/>
      <c r="AE117" s="35"/>
    </row>
    <row r="118">
      <c r="A118" s="7" t="s">
        <v>467</v>
      </c>
      <c r="B118" s="7" t="s">
        <v>190</v>
      </c>
      <c r="C118" s="7" t="s">
        <v>191</v>
      </c>
      <c r="D118" s="7" t="s">
        <v>80</v>
      </c>
      <c r="E118" s="7">
        <v>30.0</v>
      </c>
      <c r="F118" s="7" t="s">
        <v>468</v>
      </c>
      <c r="G118" s="7" t="s">
        <v>469</v>
      </c>
      <c r="H118" s="44"/>
      <c r="I118" s="44"/>
      <c r="J118" s="44"/>
      <c r="K118" s="44"/>
      <c r="L118" s="29"/>
      <c r="M118" s="29"/>
      <c r="N118" s="29"/>
      <c r="O118" s="29"/>
      <c r="P118" s="29"/>
      <c r="Q118" s="29"/>
      <c r="R118" s="29"/>
      <c r="S118" s="29"/>
      <c r="T118" s="29"/>
      <c r="U118" s="29"/>
      <c r="V118" s="29"/>
      <c r="W118" s="29"/>
      <c r="X118" s="29"/>
      <c r="Y118" s="29"/>
      <c r="Z118" s="29"/>
      <c r="AA118" s="29"/>
      <c r="AB118" s="29"/>
      <c r="AC118" s="29"/>
      <c r="AD118" s="29"/>
      <c r="AE118" s="29"/>
    </row>
    <row r="119">
      <c r="A119" s="7" t="s">
        <v>470</v>
      </c>
      <c r="B119" s="7" t="s">
        <v>190</v>
      </c>
      <c r="C119" s="7" t="s">
        <v>191</v>
      </c>
      <c r="D119" s="7" t="s">
        <v>60</v>
      </c>
      <c r="E119" s="23">
        <v>30.0</v>
      </c>
      <c r="F119" s="7" t="s">
        <v>471</v>
      </c>
      <c r="G119" s="7"/>
      <c r="H119" s="44"/>
      <c r="I119" s="44"/>
      <c r="J119" s="44"/>
      <c r="K119" s="44"/>
      <c r="L119" s="29"/>
      <c r="M119" s="29"/>
      <c r="N119" s="29"/>
      <c r="O119" s="29"/>
      <c r="P119" s="29"/>
      <c r="Q119" s="29"/>
      <c r="R119" s="29"/>
      <c r="S119" s="29"/>
      <c r="T119" s="29"/>
      <c r="U119" s="29"/>
      <c r="V119" s="29"/>
      <c r="W119" s="29"/>
      <c r="X119" s="29"/>
      <c r="Y119" s="29"/>
      <c r="Z119" s="29"/>
      <c r="AA119" s="29"/>
      <c r="AB119" s="29"/>
      <c r="AC119" s="29"/>
      <c r="AD119" s="29"/>
      <c r="AE119" s="29"/>
    </row>
    <row r="120">
      <c r="A120" s="23" t="s">
        <v>472</v>
      </c>
      <c r="B120" s="23" t="s">
        <v>190</v>
      </c>
      <c r="C120" s="23" t="s">
        <v>191</v>
      </c>
      <c r="D120" s="23" t="s">
        <v>87</v>
      </c>
      <c r="E120" s="23">
        <v>36.0</v>
      </c>
      <c r="F120" s="23" t="s">
        <v>473</v>
      </c>
      <c r="G120" s="23"/>
      <c r="H120" s="46"/>
      <c r="I120" s="46"/>
      <c r="J120" s="46"/>
      <c r="K120" s="46"/>
      <c r="L120" s="35"/>
      <c r="M120" s="35"/>
      <c r="N120" s="35"/>
      <c r="O120" s="35"/>
      <c r="P120" s="35"/>
      <c r="Q120" s="35"/>
      <c r="R120" s="35"/>
      <c r="S120" s="35"/>
      <c r="T120" s="35"/>
      <c r="U120" s="35"/>
      <c r="V120" s="35"/>
      <c r="W120" s="35"/>
      <c r="X120" s="35"/>
      <c r="Y120" s="35"/>
      <c r="Z120" s="35"/>
      <c r="AA120" s="35"/>
      <c r="AB120" s="35"/>
      <c r="AC120" s="35"/>
      <c r="AD120" s="35"/>
      <c r="AE120" s="35"/>
    </row>
    <row r="121">
      <c r="A121" s="23" t="s">
        <v>474</v>
      </c>
      <c r="B121" s="23" t="s">
        <v>190</v>
      </c>
      <c r="C121" s="23" t="s">
        <v>191</v>
      </c>
      <c r="D121" s="23" t="s">
        <v>86</v>
      </c>
      <c r="E121" s="23">
        <v>30.0</v>
      </c>
      <c r="F121" s="23" t="s">
        <v>475</v>
      </c>
      <c r="G121" s="23" t="s">
        <v>476</v>
      </c>
      <c r="H121" s="46"/>
      <c r="I121" s="46"/>
      <c r="J121" s="46"/>
      <c r="K121" s="46"/>
      <c r="L121" s="35"/>
      <c r="M121" s="35"/>
      <c r="N121" s="35"/>
      <c r="O121" s="35"/>
      <c r="P121" s="35"/>
      <c r="Q121" s="35"/>
      <c r="R121" s="35"/>
      <c r="S121" s="35"/>
      <c r="T121" s="35"/>
      <c r="U121" s="35"/>
      <c r="V121" s="35"/>
      <c r="W121" s="35"/>
      <c r="X121" s="35"/>
      <c r="Y121" s="35"/>
      <c r="Z121" s="35"/>
      <c r="AA121" s="35"/>
      <c r="AB121" s="35"/>
      <c r="AC121" s="35"/>
      <c r="AD121" s="35"/>
      <c r="AE121" s="35"/>
    </row>
    <row r="122">
      <c r="A122" s="23" t="s">
        <v>477</v>
      </c>
      <c r="B122" s="23" t="s">
        <v>238</v>
      </c>
      <c r="C122" s="23" t="s">
        <v>191</v>
      </c>
      <c r="D122" s="23" t="s">
        <v>159</v>
      </c>
      <c r="E122" s="23">
        <v>26.0</v>
      </c>
      <c r="F122" s="23" t="s">
        <v>478</v>
      </c>
      <c r="G122" s="23" t="s">
        <v>479</v>
      </c>
      <c r="H122" s="46"/>
      <c r="I122" s="46"/>
      <c r="J122" s="46"/>
      <c r="K122" s="46"/>
      <c r="L122" s="35"/>
      <c r="M122" s="35"/>
      <c r="N122" s="35"/>
      <c r="O122" s="35"/>
      <c r="P122" s="35"/>
      <c r="Q122" s="35"/>
      <c r="R122" s="35"/>
      <c r="S122" s="35"/>
      <c r="T122" s="35"/>
      <c r="U122" s="35"/>
      <c r="V122" s="35"/>
      <c r="W122" s="35"/>
      <c r="X122" s="35"/>
      <c r="Y122" s="35"/>
      <c r="Z122" s="35"/>
      <c r="AA122" s="35"/>
      <c r="AB122" s="35"/>
      <c r="AC122" s="35"/>
      <c r="AD122" s="35"/>
      <c r="AE122" s="35"/>
    </row>
    <row r="123">
      <c r="A123" s="7" t="s">
        <v>161</v>
      </c>
      <c r="B123" s="7" t="s">
        <v>238</v>
      </c>
      <c r="C123" s="7" t="s">
        <v>191</v>
      </c>
      <c r="D123" s="7" t="s">
        <v>161</v>
      </c>
      <c r="E123" s="7">
        <v>27.0</v>
      </c>
      <c r="F123" s="7" t="s">
        <v>480</v>
      </c>
      <c r="G123" s="7" t="s">
        <v>481</v>
      </c>
      <c r="H123" s="44"/>
      <c r="I123" s="44"/>
      <c r="J123" s="7" t="s">
        <v>482</v>
      </c>
      <c r="K123" s="44"/>
      <c r="L123" s="29"/>
      <c r="M123" s="29"/>
      <c r="N123" s="29"/>
      <c r="O123" s="29"/>
      <c r="P123" s="29"/>
      <c r="Q123" s="29"/>
      <c r="R123" s="29"/>
      <c r="S123" s="29"/>
      <c r="T123" s="29"/>
      <c r="U123" s="29"/>
      <c r="V123" s="29"/>
      <c r="W123" s="29"/>
      <c r="X123" s="29"/>
      <c r="Y123" s="29"/>
      <c r="Z123" s="29"/>
      <c r="AA123" s="29"/>
      <c r="AB123" s="29"/>
      <c r="AC123" s="29"/>
      <c r="AD123" s="29"/>
      <c r="AE123" s="29"/>
    </row>
    <row r="124">
      <c r="A124" s="7" t="s">
        <v>483</v>
      </c>
      <c r="B124" s="7" t="s">
        <v>190</v>
      </c>
      <c r="C124" s="7" t="s">
        <v>191</v>
      </c>
      <c r="D124" s="7" t="s">
        <v>38</v>
      </c>
      <c r="E124" s="23">
        <v>30.0</v>
      </c>
      <c r="F124" s="7" t="s">
        <v>484</v>
      </c>
      <c r="G124" s="44"/>
      <c r="H124" s="44"/>
      <c r="I124" s="44"/>
      <c r="J124" s="44"/>
      <c r="K124" s="44"/>
      <c r="L124" s="29"/>
      <c r="M124" s="29"/>
      <c r="N124" s="29"/>
      <c r="O124" s="29"/>
      <c r="P124" s="29"/>
      <c r="Q124" s="29"/>
      <c r="R124" s="29"/>
      <c r="S124" s="29"/>
      <c r="T124" s="29"/>
      <c r="U124" s="29"/>
      <c r="V124" s="29"/>
      <c r="W124" s="29"/>
      <c r="X124" s="29"/>
      <c r="Y124" s="29"/>
      <c r="Z124" s="29"/>
      <c r="AA124" s="29"/>
      <c r="AB124" s="29"/>
      <c r="AC124" s="29"/>
      <c r="AD124" s="29"/>
      <c r="AE124" s="29"/>
    </row>
    <row r="125">
      <c r="A125" s="7" t="s">
        <v>485</v>
      </c>
      <c r="B125" s="7" t="s">
        <v>190</v>
      </c>
      <c r="C125" s="7" t="s">
        <v>191</v>
      </c>
      <c r="D125" s="7" t="s">
        <v>52</v>
      </c>
      <c r="E125" s="23">
        <v>36.0</v>
      </c>
      <c r="F125" s="47" t="s">
        <v>486</v>
      </c>
      <c r="G125" s="7" t="s">
        <v>487</v>
      </c>
      <c r="H125" s="44"/>
      <c r="I125" s="44"/>
      <c r="J125" s="44"/>
      <c r="K125" s="44"/>
      <c r="L125" s="29"/>
      <c r="M125" s="29"/>
      <c r="N125" s="29"/>
      <c r="O125" s="29"/>
      <c r="P125" s="29"/>
      <c r="Q125" s="29"/>
      <c r="R125" s="29"/>
      <c r="S125" s="29"/>
      <c r="T125" s="29"/>
      <c r="U125" s="29"/>
      <c r="V125" s="29"/>
      <c r="W125" s="29"/>
      <c r="X125" s="29"/>
      <c r="Y125" s="29"/>
      <c r="Z125" s="29"/>
      <c r="AA125" s="29"/>
      <c r="AB125" s="29"/>
      <c r="AC125" s="29"/>
      <c r="AD125" s="29"/>
      <c r="AE125" s="29"/>
    </row>
    <row r="126">
      <c r="A126" s="7" t="s">
        <v>488</v>
      </c>
      <c r="B126" s="7" t="s">
        <v>190</v>
      </c>
      <c r="C126" s="7" t="s">
        <v>191</v>
      </c>
      <c r="D126" s="7" t="s">
        <v>12</v>
      </c>
      <c r="E126" s="23">
        <v>37.0</v>
      </c>
      <c r="F126" s="7" t="s">
        <v>489</v>
      </c>
      <c r="G126" s="7" t="s">
        <v>490</v>
      </c>
      <c r="H126" s="44"/>
      <c r="I126" s="44"/>
      <c r="J126" s="44"/>
      <c r="K126" s="44"/>
      <c r="L126" s="29"/>
      <c r="M126" s="29"/>
      <c r="N126" s="29"/>
      <c r="O126" s="29"/>
      <c r="P126" s="29"/>
      <c r="Q126" s="29"/>
      <c r="R126" s="29"/>
      <c r="S126" s="29"/>
      <c r="T126" s="29"/>
      <c r="U126" s="29"/>
      <c r="V126" s="29"/>
      <c r="W126" s="29"/>
      <c r="X126" s="29"/>
      <c r="Y126" s="29"/>
      <c r="Z126" s="29"/>
      <c r="AA126" s="29"/>
      <c r="AB126" s="29"/>
      <c r="AC126" s="29"/>
      <c r="AD126" s="29"/>
      <c r="AE126" s="29"/>
    </row>
    <row r="127">
      <c r="A127" s="7" t="s">
        <v>491</v>
      </c>
      <c r="B127" s="7" t="s">
        <v>190</v>
      </c>
      <c r="C127" s="7" t="s">
        <v>191</v>
      </c>
      <c r="D127" s="7" t="s">
        <v>71</v>
      </c>
      <c r="E127" s="7">
        <v>30.0</v>
      </c>
      <c r="F127" s="7" t="s">
        <v>492</v>
      </c>
      <c r="G127" s="7" t="s">
        <v>493</v>
      </c>
      <c r="H127" s="44"/>
      <c r="I127" s="44"/>
      <c r="J127" s="44"/>
      <c r="K127" s="44"/>
      <c r="L127" s="29"/>
      <c r="M127" s="29"/>
      <c r="N127" s="29"/>
      <c r="O127" s="29"/>
      <c r="P127" s="29"/>
      <c r="Q127" s="29"/>
      <c r="R127" s="29"/>
      <c r="S127" s="29"/>
      <c r="T127" s="29"/>
      <c r="U127" s="29"/>
      <c r="V127" s="29"/>
      <c r="W127" s="29"/>
      <c r="X127" s="29"/>
      <c r="Y127" s="29"/>
      <c r="Z127" s="29"/>
      <c r="AA127" s="29"/>
      <c r="AB127" s="29"/>
      <c r="AC127" s="29"/>
      <c r="AD127" s="29"/>
      <c r="AE127" s="29"/>
    </row>
    <row r="128">
      <c r="A128" s="7" t="s">
        <v>494</v>
      </c>
      <c r="B128" s="7" t="s">
        <v>190</v>
      </c>
      <c r="C128" s="7" t="s">
        <v>191</v>
      </c>
      <c r="D128" s="7" t="s">
        <v>48</v>
      </c>
      <c r="E128" s="7">
        <v>30.0</v>
      </c>
      <c r="F128" s="7" t="s">
        <v>495</v>
      </c>
      <c r="G128" s="7" t="s">
        <v>493</v>
      </c>
      <c r="H128" s="44"/>
      <c r="I128" s="44"/>
      <c r="J128" s="44"/>
      <c r="K128" s="44"/>
      <c r="L128" s="29"/>
      <c r="M128" s="29"/>
      <c r="N128" s="29"/>
      <c r="O128" s="29"/>
      <c r="P128" s="29"/>
      <c r="Q128" s="29"/>
      <c r="R128" s="29"/>
      <c r="S128" s="29"/>
      <c r="T128" s="29"/>
      <c r="U128" s="29"/>
      <c r="V128" s="29"/>
      <c r="W128" s="29"/>
      <c r="X128" s="29"/>
      <c r="Y128" s="29"/>
      <c r="Z128" s="29"/>
      <c r="AA128" s="29"/>
      <c r="AB128" s="29"/>
      <c r="AC128" s="29"/>
      <c r="AD128" s="29"/>
      <c r="AE128" s="29"/>
    </row>
    <row r="129">
      <c r="A129" s="7" t="s">
        <v>496</v>
      </c>
      <c r="B129" s="7" t="s">
        <v>190</v>
      </c>
      <c r="C129" s="7" t="s">
        <v>191</v>
      </c>
      <c r="D129" s="7" t="s">
        <v>84</v>
      </c>
      <c r="E129" s="23">
        <v>37.0</v>
      </c>
      <c r="F129" s="7" t="s">
        <v>497</v>
      </c>
      <c r="G129" s="7" t="s">
        <v>498</v>
      </c>
      <c r="H129" s="44"/>
      <c r="I129" s="44"/>
      <c r="J129" s="44"/>
      <c r="K129" s="44"/>
      <c r="L129" s="29"/>
      <c r="M129" s="29"/>
      <c r="N129" s="29"/>
      <c r="O129" s="29"/>
      <c r="P129" s="29"/>
      <c r="Q129" s="29"/>
      <c r="R129" s="29"/>
      <c r="S129" s="29"/>
      <c r="T129" s="29"/>
      <c r="U129" s="29"/>
      <c r="V129" s="29"/>
      <c r="W129" s="29"/>
      <c r="X129" s="29"/>
      <c r="Y129" s="29"/>
      <c r="Z129" s="29"/>
      <c r="AA129" s="29"/>
      <c r="AB129" s="29"/>
      <c r="AC129" s="29"/>
      <c r="AD129" s="29"/>
      <c r="AE129" s="29"/>
    </row>
    <row r="130">
      <c r="A130" s="7" t="s">
        <v>499</v>
      </c>
      <c r="B130" s="7" t="s">
        <v>190</v>
      </c>
      <c r="C130" s="7" t="s">
        <v>191</v>
      </c>
      <c r="D130" s="7" t="s">
        <v>86</v>
      </c>
      <c r="E130" s="23">
        <v>32.0</v>
      </c>
      <c r="F130" s="7" t="s">
        <v>500</v>
      </c>
      <c r="G130" s="7" t="s">
        <v>501</v>
      </c>
      <c r="H130" s="44"/>
      <c r="I130" s="44"/>
      <c r="J130" s="44"/>
      <c r="K130" s="44"/>
      <c r="L130" s="29"/>
      <c r="M130" s="29"/>
      <c r="N130" s="29"/>
      <c r="O130" s="29"/>
      <c r="P130" s="29"/>
      <c r="Q130" s="29"/>
      <c r="R130" s="29"/>
      <c r="S130" s="29"/>
      <c r="T130" s="29"/>
      <c r="U130" s="29"/>
      <c r="V130" s="29"/>
      <c r="W130" s="29"/>
      <c r="X130" s="29"/>
      <c r="Y130" s="29"/>
      <c r="Z130" s="29"/>
      <c r="AA130" s="29"/>
      <c r="AB130" s="29"/>
      <c r="AC130" s="29"/>
      <c r="AD130" s="29"/>
      <c r="AE130" s="29"/>
    </row>
    <row r="131">
      <c r="A131" s="7" t="s">
        <v>502</v>
      </c>
      <c r="B131" s="7" t="s">
        <v>190</v>
      </c>
      <c r="C131" s="7" t="s">
        <v>191</v>
      </c>
      <c r="D131" s="7" t="s">
        <v>25</v>
      </c>
      <c r="E131" s="7">
        <v>32.0</v>
      </c>
      <c r="F131" s="7" t="s">
        <v>503</v>
      </c>
      <c r="G131" s="7" t="s">
        <v>504</v>
      </c>
      <c r="H131" s="44"/>
      <c r="I131" s="44"/>
      <c r="J131" s="44"/>
      <c r="K131" s="44"/>
      <c r="L131" s="29"/>
      <c r="M131" s="29"/>
      <c r="N131" s="29"/>
      <c r="O131" s="29"/>
      <c r="P131" s="29"/>
      <c r="Q131" s="29"/>
      <c r="R131" s="29"/>
      <c r="S131" s="29"/>
      <c r="T131" s="29"/>
      <c r="U131" s="29"/>
      <c r="V131" s="29"/>
      <c r="W131" s="29"/>
      <c r="X131" s="29"/>
      <c r="Y131" s="29"/>
      <c r="Z131" s="29"/>
      <c r="AA131" s="29"/>
      <c r="AB131" s="29"/>
      <c r="AC131" s="29"/>
      <c r="AD131" s="29"/>
      <c r="AE131" s="29"/>
    </row>
    <row r="132">
      <c r="A132" s="7" t="s">
        <v>505</v>
      </c>
      <c r="B132" s="7" t="s">
        <v>190</v>
      </c>
      <c r="C132" s="7" t="s">
        <v>191</v>
      </c>
      <c r="D132" s="7" t="s">
        <v>45</v>
      </c>
      <c r="E132" s="7">
        <v>37.0</v>
      </c>
      <c r="F132" s="7" t="s">
        <v>506</v>
      </c>
      <c r="G132" s="7" t="s">
        <v>507</v>
      </c>
      <c r="H132" s="44"/>
      <c r="I132" s="44"/>
      <c r="J132" s="44"/>
      <c r="K132" s="44"/>
      <c r="L132" s="29"/>
      <c r="M132" s="29"/>
      <c r="N132" s="29"/>
      <c r="O132" s="29"/>
      <c r="P132" s="29"/>
      <c r="Q132" s="29"/>
      <c r="R132" s="29"/>
      <c r="S132" s="29"/>
      <c r="T132" s="29"/>
      <c r="U132" s="29"/>
      <c r="V132" s="29"/>
      <c r="W132" s="29"/>
      <c r="X132" s="29"/>
      <c r="Y132" s="29"/>
      <c r="Z132" s="29"/>
      <c r="AA132" s="29"/>
      <c r="AB132" s="29"/>
      <c r="AC132" s="29"/>
      <c r="AD132" s="29"/>
      <c r="AE132" s="29"/>
    </row>
    <row r="133">
      <c r="A133" s="7" t="s">
        <v>508</v>
      </c>
      <c r="B133" s="7" t="s">
        <v>190</v>
      </c>
      <c r="C133" s="7" t="s">
        <v>191</v>
      </c>
      <c r="D133" s="7" t="s">
        <v>25</v>
      </c>
      <c r="E133" s="23">
        <v>33.0</v>
      </c>
      <c r="F133" s="7" t="s">
        <v>509</v>
      </c>
      <c r="G133" s="7" t="s">
        <v>510</v>
      </c>
      <c r="H133" s="44"/>
      <c r="I133" s="44"/>
      <c r="J133" s="44"/>
      <c r="K133" s="44"/>
      <c r="L133" s="29"/>
      <c r="M133" s="29"/>
      <c r="N133" s="29"/>
      <c r="O133" s="29"/>
      <c r="P133" s="29"/>
      <c r="Q133" s="29"/>
      <c r="R133" s="29"/>
      <c r="S133" s="29"/>
      <c r="T133" s="29"/>
      <c r="U133" s="29"/>
      <c r="V133" s="29"/>
      <c r="W133" s="29"/>
      <c r="X133" s="29"/>
      <c r="Y133" s="29"/>
      <c r="Z133" s="29"/>
      <c r="AA133" s="29"/>
      <c r="AB133" s="29"/>
      <c r="AC133" s="29"/>
      <c r="AD133" s="29"/>
      <c r="AE133" s="29"/>
    </row>
    <row r="134">
      <c r="A134" s="7" t="s">
        <v>511</v>
      </c>
      <c r="B134" s="7" t="s">
        <v>190</v>
      </c>
      <c r="C134" s="7" t="s">
        <v>191</v>
      </c>
      <c r="D134" s="7" t="s">
        <v>30</v>
      </c>
      <c r="E134" s="23">
        <v>38.0</v>
      </c>
      <c r="F134" s="7" t="s">
        <v>512</v>
      </c>
      <c r="G134" s="7" t="s">
        <v>513</v>
      </c>
      <c r="H134" s="44"/>
      <c r="I134" s="44"/>
      <c r="J134" s="44"/>
      <c r="K134" s="44"/>
      <c r="L134" s="29"/>
      <c r="M134" s="29"/>
      <c r="N134" s="29"/>
      <c r="O134" s="29"/>
      <c r="P134" s="29"/>
      <c r="Q134" s="29"/>
      <c r="R134" s="29"/>
      <c r="S134" s="29"/>
      <c r="T134" s="29"/>
      <c r="U134" s="29"/>
      <c r="V134" s="29"/>
      <c r="W134" s="29"/>
      <c r="X134" s="29"/>
      <c r="Y134" s="29"/>
      <c r="Z134" s="29"/>
      <c r="AA134" s="29"/>
      <c r="AB134" s="29"/>
      <c r="AC134" s="29"/>
      <c r="AD134" s="29"/>
      <c r="AE134" s="29"/>
    </row>
    <row r="135">
      <c r="A135" s="7" t="s">
        <v>514</v>
      </c>
      <c r="B135" s="7" t="s">
        <v>238</v>
      </c>
      <c r="C135" s="7" t="s">
        <v>191</v>
      </c>
      <c r="D135" s="7" t="s">
        <v>169</v>
      </c>
      <c r="E135" s="48">
        <v>23.0</v>
      </c>
      <c r="F135" s="7" t="s">
        <v>515</v>
      </c>
      <c r="G135" s="44"/>
      <c r="H135" s="44"/>
      <c r="I135" s="44"/>
      <c r="J135" s="44"/>
      <c r="K135" s="44"/>
      <c r="L135" s="29"/>
      <c r="M135" s="29"/>
      <c r="N135" s="29"/>
      <c r="O135" s="29"/>
      <c r="P135" s="29"/>
      <c r="Q135" s="29"/>
      <c r="R135" s="29"/>
      <c r="S135" s="29"/>
      <c r="T135" s="29"/>
      <c r="U135" s="29"/>
      <c r="V135" s="29"/>
      <c r="W135" s="29"/>
      <c r="X135" s="29"/>
      <c r="Y135" s="29"/>
      <c r="Z135" s="29"/>
      <c r="AA135" s="29"/>
      <c r="AB135" s="29"/>
      <c r="AC135" s="29"/>
      <c r="AD135" s="29"/>
      <c r="AE135" s="29"/>
    </row>
    <row r="136">
      <c r="A136" s="23" t="s">
        <v>516</v>
      </c>
      <c r="B136" s="23" t="s">
        <v>190</v>
      </c>
      <c r="C136" s="23" t="s">
        <v>191</v>
      </c>
      <c r="D136" s="23" t="s">
        <v>12</v>
      </c>
      <c r="E136" s="23">
        <v>39.0</v>
      </c>
      <c r="F136" s="23" t="s">
        <v>517</v>
      </c>
      <c r="G136" s="23" t="s">
        <v>518</v>
      </c>
      <c r="H136" s="46"/>
      <c r="I136" s="46"/>
      <c r="J136" s="46"/>
      <c r="K136" s="46"/>
      <c r="L136" s="35"/>
      <c r="M136" s="35"/>
      <c r="N136" s="35"/>
      <c r="O136" s="35"/>
      <c r="P136" s="35"/>
      <c r="Q136" s="35"/>
      <c r="R136" s="35"/>
      <c r="S136" s="35"/>
      <c r="T136" s="35"/>
      <c r="U136" s="35"/>
      <c r="V136" s="35"/>
      <c r="W136" s="35"/>
      <c r="X136" s="35"/>
      <c r="Y136" s="35"/>
      <c r="Z136" s="35"/>
      <c r="AA136" s="35"/>
      <c r="AB136" s="35"/>
      <c r="AC136" s="35"/>
      <c r="AD136" s="35"/>
      <c r="AE136" s="35"/>
    </row>
    <row r="137">
      <c r="A137" s="23" t="s">
        <v>519</v>
      </c>
      <c r="B137" s="23" t="s">
        <v>190</v>
      </c>
      <c r="C137" s="23" t="s">
        <v>191</v>
      </c>
      <c r="D137" s="23" t="s">
        <v>16</v>
      </c>
      <c r="E137" s="23">
        <v>39.0</v>
      </c>
      <c r="F137" s="23" t="s">
        <v>520</v>
      </c>
      <c r="G137" s="23" t="s">
        <v>518</v>
      </c>
      <c r="H137" s="46"/>
      <c r="I137" s="46"/>
      <c r="J137" s="46"/>
      <c r="K137" s="46"/>
      <c r="L137" s="35"/>
      <c r="M137" s="35"/>
      <c r="N137" s="35"/>
      <c r="O137" s="35"/>
      <c r="P137" s="35"/>
      <c r="Q137" s="35"/>
      <c r="R137" s="35"/>
      <c r="S137" s="35"/>
      <c r="T137" s="35"/>
      <c r="U137" s="35"/>
      <c r="V137" s="35"/>
      <c r="W137" s="35"/>
      <c r="X137" s="35"/>
      <c r="Y137" s="35"/>
      <c r="Z137" s="35"/>
      <c r="AA137" s="35"/>
      <c r="AB137" s="35"/>
      <c r="AC137" s="35"/>
      <c r="AD137" s="35"/>
      <c r="AE137" s="35"/>
    </row>
    <row r="138">
      <c r="A138" s="23" t="s">
        <v>521</v>
      </c>
      <c r="B138" s="23" t="s">
        <v>190</v>
      </c>
      <c r="C138" s="23" t="s">
        <v>191</v>
      </c>
      <c r="D138" s="23" t="s">
        <v>19</v>
      </c>
      <c r="E138" s="23">
        <v>39.0</v>
      </c>
      <c r="F138" s="23" t="s">
        <v>522</v>
      </c>
      <c r="G138" s="23" t="s">
        <v>518</v>
      </c>
      <c r="H138" s="46"/>
      <c r="I138" s="46"/>
      <c r="J138" s="46"/>
      <c r="K138" s="46"/>
      <c r="L138" s="35"/>
      <c r="M138" s="35"/>
      <c r="N138" s="35"/>
      <c r="O138" s="35"/>
      <c r="P138" s="35"/>
      <c r="Q138" s="35"/>
      <c r="R138" s="35"/>
      <c r="S138" s="35"/>
      <c r="T138" s="35"/>
      <c r="U138" s="35"/>
      <c r="V138" s="35"/>
      <c r="W138" s="35"/>
      <c r="X138" s="35"/>
      <c r="Y138" s="35"/>
      <c r="Z138" s="35"/>
      <c r="AA138" s="35"/>
      <c r="AB138" s="35"/>
      <c r="AC138" s="35"/>
      <c r="AD138" s="35"/>
      <c r="AE138" s="35"/>
    </row>
    <row r="139">
      <c r="A139" s="23" t="s">
        <v>523</v>
      </c>
      <c r="B139" s="23" t="s">
        <v>190</v>
      </c>
      <c r="C139" s="23" t="s">
        <v>191</v>
      </c>
      <c r="D139" s="23" t="s">
        <v>20</v>
      </c>
      <c r="E139" s="23">
        <v>39.0</v>
      </c>
      <c r="F139" s="23" t="s">
        <v>524</v>
      </c>
      <c r="G139" s="23" t="s">
        <v>518</v>
      </c>
      <c r="H139" s="46"/>
      <c r="I139" s="46"/>
      <c r="J139" s="46"/>
      <c r="K139" s="46"/>
      <c r="L139" s="35"/>
      <c r="M139" s="35"/>
      <c r="N139" s="35"/>
      <c r="O139" s="35"/>
      <c r="P139" s="35"/>
      <c r="Q139" s="35"/>
      <c r="R139" s="35"/>
      <c r="S139" s="35"/>
      <c r="T139" s="35"/>
      <c r="U139" s="35"/>
      <c r="V139" s="35"/>
      <c r="W139" s="35"/>
      <c r="X139" s="35"/>
      <c r="Y139" s="35"/>
      <c r="Z139" s="35"/>
      <c r="AA139" s="35"/>
      <c r="AB139" s="35"/>
      <c r="AC139" s="35"/>
      <c r="AD139" s="35"/>
      <c r="AE139" s="35"/>
    </row>
    <row r="140">
      <c r="A140" s="23" t="s">
        <v>525</v>
      </c>
      <c r="B140" s="23" t="s">
        <v>190</v>
      </c>
      <c r="C140" s="23" t="s">
        <v>191</v>
      </c>
      <c r="D140" s="23" t="s">
        <v>21</v>
      </c>
      <c r="E140" s="23">
        <v>39.0</v>
      </c>
      <c r="F140" s="23" t="s">
        <v>526</v>
      </c>
      <c r="G140" s="23" t="s">
        <v>518</v>
      </c>
      <c r="H140" s="46"/>
      <c r="I140" s="46"/>
      <c r="J140" s="46"/>
      <c r="K140" s="46"/>
      <c r="L140" s="35"/>
      <c r="M140" s="35"/>
      <c r="N140" s="35"/>
      <c r="O140" s="35"/>
      <c r="P140" s="35"/>
      <c r="Q140" s="35"/>
      <c r="R140" s="35"/>
      <c r="S140" s="35"/>
      <c r="T140" s="35"/>
      <c r="U140" s="35"/>
      <c r="V140" s="35"/>
      <c r="W140" s="35"/>
      <c r="X140" s="35"/>
      <c r="Y140" s="35"/>
      <c r="Z140" s="35"/>
      <c r="AA140" s="35"/>
      <c r="AB140" s="35"/>
      <c r="AC140" s="35"/>
      <c r="AD140" s="35"/>
      <c r="AE140" s="35"/>
    </row>
    <row r="141">
      <c r="A141" s="23" t="s">
        <v>527</v>
      </c>
      <c r="B141" s="23" t="s">
        <v>190</v>
      </c>
      <c r="C141" s="23" t="s">
        <v>191</v>
      </c>
      <c r="D141" s="23" t="s">
        <v>24</v>
      </c>
      <c r="E141" s="23">
        <v>39.0</v>
      </c>
      <c r="F141" s="23" t="s">
        <v>528</v>
      </c>
      <c r="G141" s="23" t="s">
        <v>518</v>
      </c>
      <c r="H141" s="46"/>
      <c r="I141" s="46"/>
      <c r="J141" s="46"/>
      <c r="K141" s="46"/>
      <c r="L141" s="35"/>
      <c r="M141" s="35"/>
      <c r="N141" s="35"/>
      <c r="O141" s="35"/>
      <c r="P141" s="35"/>
      <c r="Q141" s="35"/>
      <c r="R141" s="35"/>
      <c r="S141" s="35"/>
      <c r="T141" s="35"/>
      <c r="U141" s="35"/>
      <c r="V141" s="35"/>
      <c r="W141" s="35"/>
      <c r="X141" s="35"/>
      <c r="Y141" s="35"/>
      <c r="Z141" s="35"/>
      <c r="AA141" s="35"/>
      <c r="AB141" s="35"/>
      <c r="AC141" s="35"/>
      <c r="AD141" s="35"/>
      <c r="AE141" s="35"/>
    </row>
    <row r="142">
      <c r="A142" s="23" t="s">
        <v>529</v>
      </c>
      <c r="B142" s="23" t="s">
        <v>190</v>
      </c>
      <c r="C142" s="23" t="s">
        <v>191</v>
      </c>
      <c r="D142" s="23" t="s">
        <v>25</v>
      </c>
      <c r="E142" s="23">
        <v>39.0</v>
      </c>
      <c r="F142" s="23" t="s">
        <v>530</v>
      </c>
      <c r="G142" s="23" t="s">
        <v>518</v>
      </c>
      <c r="H142" s="46"/>
      <c r="I142" s="46"/>
      <c r="J142" s="46"/>
      <c r="K142" s="46"/>
      <c r="L142" s="35"/>
      <c r="M142" s="35"/>
      <c r="N142" s="35"/>
      <c r="O142" s="35"/>
      <c r="P142" s="35"/>
      <c r="Q142" s="35"/>
      <c r="R142" s="35"/>
      <c r="S142" s="35"/>
      <c r="T142" s="35"/>
      <c r="U142" s="35"/>
      <c r="V142" s="35"/>
      <c r="W142" s="35"/>
      <c r="X142" s="35"/>
      <c r="Y142" s="35"/>
      <c r="Z142" s="35"/>
      <c r="AA142" s="35"/>
      <c r="AB142" s="35"/>
      <c r="AC142" s="35"/>
      <c r="AD142" s="35"/>
      <c r="AE142" s="35"/>
    </row>
    <row r="143">
      <c r="A143" s="23" t="s">
        <v>531</v>
      </c>
      <c r="B143" s="23" t="s">
        <v>190</v>
      </c>
      <c r="C143" s="23" t="s">
        <v>191</v>
      </c>
      <c r="D143" s="23" t="s">
        <v>26</v>
      </c>
      <c r="E143" s="23">
        <v>39.0</v>
      </c>
      <c r="F143" s="23" t="s">
        <v>532</v>
      </c>
      <c r="G143" s="23" t="s">
        <v>518</v>
      </c>
      <c r="H143" s="46"/>
      <c r="I143" s="46"/>
      <c r="J143" s="46"/>
      <c r="K143" s="46"/>
      <c r="L143" s="35"/>
      <c r="M143" s="35"/>
      <c r="N143" s="35"/>
      <c r="O143" s="35"/>
      <c r="P143" s="35"/>
      <c r="Q143" s="35"/>
      <c r="R143" s="35"/>
      <c r="S143" s="35"/>
      <c r="T143" s="35"/>
      <c r="U143" s="35"/>
      <c r="V143" s="35"/>
      <c r="W143" s="35"/>
      <c r="X143" s="35"/>
      <c r="Y143" s="35"/>
      <c r="Z143" s="35"/>
      <c r="AA143" s="35"/>
      <c r="AB143" s="35"/>
      <c r="AC143" s="35"/>
      <c r="AD143" s="35"/>
      <c r="AE143" s="35"/>
    </row>
    <row r="144">
      <c r="A144" s="23" t="s">
        <v>533</v>
      </c>
      <c r="B144" s="23" t="s">
        <v>190</v>
      </c>
      <c r="C144" s="23" t="s">
        <v>191</v>
      </c>
      <c r="D144" s="23" t="s">
        <v>27</v>
      </c>
      <c r="E144" s="23">
        <v>39.0</v>
      </c>
      <c r="F144" s="23" t="s">
        <v>534</v>
      </c>
      <c r="G144" s="23" t="s">
        <v>518</v>
      </c>
      <c r="H144" s="46"/>
      <c r="I144" s="46"/>
      <c r="J144" s="46"/>
      <c r="K144" s="46"/>
      <c r="L144" s="35"/>
      <c r="M144" s="35"/>
      <c r="N144" s="35"/>
      <c r="O144" s="35"/>
      <c r="P144" s="35"/>
      <c r="Q144" s="35"/>
      <c r="R144" s="35"/>
      <c r="S144" s="35"/>
      <c r="T144" s="35"/>
      <c r="U144" s="35"/>
      <c r="V144" s="35"/>
      <c r="W144" s="35"/>
      <c r="X144" s="35"/>
      <c r="Y144" s="35"/>
      <c r="Z144" s="35"/>
      <c r="AA144" s="35"/>
      <c r="AB144" s="35"/>
      <c r="AC144" s="35"/>
      <c r="AD144" s="35"/>
      <c r="AE144" s="35"/>
    </row>
    <row r="145">
      <c r="A145" s="23" t="s">
        <v>535</v>
      </c>
      <c r="B145" s="23" t="s">
        <v>190</v>
      </c>
      <c r="C145" s="23" t="s">
        <v>191</v>
      </c>
      <c r="D145" s="23" t="s">
        <v>28</v>
      </c>
      <c r="E145" s="23">
        <v>39.0</v>
      </c>
      <c r="F145" s="23" t="s">
        <v>536</v>
      </c>
      <c r="G145" s="23" t="s">
        <v>518</v>
      </c>
      <c r="H145" s="46"/>
      <c r="I145" s="46"/>
      <c r="J145" s="46"/>
      <c r="K145" s="46"/>
      <c r="L145" s="35"/>
      <c r="M145" s="35"/>
      <c r="N145" s="35"/>
      <c r="O145" s="35"/>
      <c r="P145" s="35"/>
      <c r="Q145" s="35"/>
      <c r="R145" s="35"/>
      <c r="S145" s="35"/>
      <c r="T145" s="35"/>
      <c r="U145" s="35"/>
      <c r="V145" s="35"/>
      <c r="W145" s="35"/>
      <c r="X145" s="35"/>
      <c r="Y145" s="35"/>
      <c r="Z145" s="35"/>
      <c r="AA145" s="35"/>
      <c r="AB145" s="35"/>
      <c r="AC145" s="35"/>
      <c r="AD145" s="35"/>
      <c r="AE145" s="35"/>
    </row>
    <row r="146">
      <c r="A146" s="23" t="s">
        <v>537</v>
      </c>
      <c r="B146" s="23" t="s">
        <v>190</v>
      </c>
      <c r="C146" s="23" t="s">
        <v>191</v>
      </c>
      <c r="D146" s="23" t="s">
        <v>30</v>
      </c>
      <c r="E146" s="23">
        <v>39.0</v>
      </c>
      <c r="F146" s="23" t="s">
        <v>538</v>
      </c>
      <c r="G146" s="23" t="s">
        <v>518</v>
      </c>
      <c r="H146" s="46"/>
      <c r="I146" s="46"/>
      <c r="J146" s="46"/>
      <c r="K146" s="46"/>
      <c r="L146" s="35"/>
      <c r="M146" s="35"/>
      <c r="N146" s="35"/>
      <c r="O146" s="35"/>
      <c r="P146" s="35"/>
      <c r="Q146" s="35"/>
      <c r="R146" s="35"/>
      <c r="S146" s="35"/>
      <c r="T146" s="35"/>
      <c r="U146" s="35"/>
      <c r="V146" s="35"/>
      <c r="W146" s="35"/>
      <c r="X146" s="35"/>
      <c r="Y146" s="35"/>
      <c r="Z146" s="35"/>
      <c r="AA146" s="35"/>
      <c r="AB146" s="35"/>
      <c r="AC146" s="35"/>
      <c r="AD146" s="35"/>
      <c r="AE146" s="35"/>
    </row>
    <row r="147">
      <c r="A147" s="23" t="s">
        <v>539</v>
      </c>
      <c r="B147" s="23" t="s">
        <v>190</v>
      </c>
      <c r="C147" s="23" t="s">
        <v>191</v>
      </c>
      <c r="D147" s="23" t="s">
        <v>32</v>
      </c>
      <c r="E147" s="23">
        <v>39.0</v>
      </c>
      <c r="F147" s="23" t="s">
        <v>540</v>
      </c>
      <c r="G147" s="23" t="s">
        <v>518</v>
      </c>
      <c r="H147" s="46"/>
      <c r="I147" s="46"/>
      <c r="J147" s="46"/>
      <c r="K147" s="46"/>
      <c r="L147" s="35"/>
      <c r="M147" s="35"/>
      <c r="N147" s="35"/>
      <c r="O147" s="35"/>
      <c r="P147" s="35"/>
      <c r="Q147" s="35"/>
      <c r="R147" s="35"/>
      <c r="S147" s="35"/>
      <c r="T147" s="35"/>
      <c r="U147" s="35"/>
      <c r="V147" s="35"/>
      <c r="W147" s="35"/>
      <c r="X147" s="35"/>
      <c r="Y147" s="35"/>
      <c r="Z147" s="35"/>
      <c r="AA147" s="35"/>
      <c r="AB147" s="35"/>
      <c r="AC147" s="35"/>
      <c r="AD147" s="35"/>
      <c r="AE147" s="35"/>
    </row>
    <row r="148">
      <c r="A148" s="23" t="s">
        <v>541</v>
      </c>
      <c r="B148" s="23" t="s">
        <v>190</v>
      </c>
      <c r="C148" s="23" t="s">
        <v>191</v>
      </c>
      <c r="D148" s="23" t="s">
        <v>33</v>
      </c>
      <c r="E148" s="23">
        <v>39.0</v>
      </c>
      <c r="F148" s="23" t="s">
        <v>542</v>
      </c>
      <c r="G148" s="23" t="s">
        <v>518</v>
      </c>
      <c r="H148" s="46"/>
      <c r="I148" s="46"/>
      <c r="J148" s="46"/>
      <c r="K148" s="46"/>
      <c r="L148" s="35"/>
      <c r="M148" s="35"/>
      <c r="N148" s="35"/>
      <c r="O148" s="35"/>
      <c r="P148" s="35"/>
      <c r="Q148" s="35"/>
      <c r="R148" s="35"/>
      <c r="S148" s="35"/>
      <c r="T148" s="35"/>
      <c r="U148" s="35"/>
      <c r="V148" s="35"/>
      <c r="W148" s="35"/>
      <c r="X148" s="35"/>
      <c r="Y148" s="35"/>
      <c r="Z148" s="35"/>
      <c r="AA148" s="35"/>
      <c r="AB148" s="35"/>
      <c r="AC148" s="35"/>
      <c r="AD148" s="35"/>
      <c r="AE148" s="35"/>
    </row>
    <row r="149">
      <c r="A149" s="23" t="s">
        <v>543</v>
      </c>
      <c r="B149" s="23" t="s">
        <v>190</v>
      </c>
      <c r="C149" s="23" t="s">
        <v>191</v>
      </c>
      <c r="D149" s="23" t="s">
        <v>34</v>
      </c>
      <c r="E149" s="23">
        <v>39.0</v>
      </c>
      <c r="F149" s="23" t="s">
        <v>544</v>
      </c>
      <c r="G149" s="23" t="s">
        <v>518</v>
      </c>
      <c r="H149" s="46"/>
      <c r="I149" s="46"/>
      <c r="J149" s="46"/>
      <c r="K149" s="46"/>
      <c r="L149" s="35"/>
      <c r="M149" s="35"/>
      <c r="N149" s="35"/>
      <c r="O149" s="35"/>
      <c r="P149" s="35"/>
      <c r="Q149" s="35"/>
      <c r="R149" s="35"/>
      <c r="S149" s="35"/>
      <c r="T149" s="35"/>
      <c r="U149" s="35"/>
      <c r="V149" s="35"/>
      <c r="W149" s="35"/>
      <c r="X149" s="35"/>
      <c r="Y149" s="35"/>
      <c r="Z149" s="35"/>
      <c r="AA149" s="35"/>
      <c r="AB149" s="35"/>
      <c r="AC149" s="35"/>
      <c r="AD149" s="35"/>
      <c r="AE149" s="35"/>
    </row>
    <row r="150">
      <c r="A150" s="23" t="s">
        <v>545</v>
      </c>
      <c r="B150" s="23" t="s">
        <v>190</v>
      </c>
      <c r="C150" s="23" t="s">
        <v>191</v>
      </c>
      <c r="D150" s="23" t="s">
        <v>35</v>
      </c>
      <c r="E150" s="23">
        <v>39.0</v>
      </c>
      <c r="F150" s="23" t="s">
        <v>546</v>
      </c>
      <c r="G150" s="23" t="s">
        <v>518</v>
      </c>
      <c r="H150" s="46"/>
      <c r="I150" s="46"/>
      <c r="J150" s="46"/>
      <c r="K150" s="46"/>
      <c r="L150" s="35"/>
      <c r="M150" s="35"/>
      <c r="N150" s="35"/>
      <c r="O150" s="35"/>
      <c r="P150" s="35"/>
      <c r="Q150" s="35"/>
      <c r="R150" s="35"/>
      <c r="S150" s="35"/>
      <c r="T150" s="35"/>
      <c r="U150" s="35"/>
      <c r="V150" s="35"/>
      <c r="W150" s="35"/>
      <c r="X150" s="35"/>
      <c r="Y150" s="35"/>
      <c r="Z150" s="35"/>
      <c r="AA150" s="35"/>
      <c r="AB150" s="35"/>
      <c r="AC150" s="35"/>
      <c r="AD150" s="35"/>
      <c r="AE150" s="35"/>
    </row>
    <row r="151">
      <c r="A151" s="23" t="s">
        <v>547</v>
      </c>
      <c r="B151" s="23" t="s">
        <v>190</v>
      </c>
      <c r="C151" s="23" t="s">
        <v>191</v>
      </c>
      <c r="D151" s="23" t="s">
        <v>37</v>
      </c>
      <c r="E151" s="23">
        <v>39.0</v>
      </c>
      <c r="F151" s="23" t="s">
        <v>548</v>
      </c>
      <c r="G151" s="23" t="s">
        <v>518</v>
      </c>
      <c r="H151" s="46"/>
      <c r="I151" s="46"/>
      <c r="J151" s="46"/>
      <c r="K151" s="46"/>
      <c r="L151" s="35"/>
      <c r="M151" s="35"/>
      <c r="N151" s="35"/>
      <c r="O151" s="35"/>
      <c r="P151" s="35"/>
      <c r="Q151" s="35"/>
      <c r="R151" s="35"/>
      <c r="S151" s="35"/>
      <c r="T151" s="35"/>
      <c r="U151" s="35"/>
      <c r="V151" s="35"/>
      <c r="W151" s="35"/>
      <c r="X151" s="35"/>
      <c r="Y151" s="35"/>
      <c r="Z151" s="35"/>
      <c r="AA151" s="35"/>
      <c r="AB151" s="35"/>
      <c r="AC151" s="35"/>
      <c r="AD151" s="35"/>
      <c r="AE151" s="35"/>
    </row>
    <row r="152">
      <c r="A152" s="23" t="s">
        <v>549</v>
      </c>
      <c r="B152" s="23" t="s">
        <v>190</v>
      </c>
      <c r="C152" s="23" t="s">
        <v>191</v>
      </c>
      <c r="D152" s="23" t="s">
        <v>38</v>
      </c>
      <c r="E152" s="23">
        <v>39.0</v>
      </c>
      <c r="F152" s="23" t="s">
        <v>550</v>
      </c>
      <c r="G152" s="23" t="s">
        <v>518</v>
      </c>
      <c r="H152" s="46"/>
      <c r="I152" s="46"/>
      <c r="J152" s="46"/>
      <c r="K152" s="46"/>
      <c r="L152" s="35"/>
      <c r="M152" s="35"/>
      <c r="N152" s="35"/>
      <c r="O152" s="35"/>
      <c r="P152" s="35"/>
      <c r="Q152" s="35"/>
      <c r="R152" s="35"/>
      <c r="S152" s="35"/>
      <c r="T152" s="35"/>
      <c r="U152" s="35"/>
      <c r="V152" s="35"/>
      <c r="W152" s="35"/>
      <c r="X152" s="35"/>
      <c r="Y152" s="35"/>
      <c r="Z152" s="35"/>
      <c r="AA152" s="35"/>
      <c r="AB152" s="35"/>
      <c r="AC152" s="35"/>
      <c r="AD152" s="35"/>
      <c r="AE152" s="35"/>
    </row>
    <row r="153">
      <c r="A153" s="23" t="s">
        <v>551</v>
      </c>
      <c r="B153" s="23" t="s">
        <v>190</v>
      </c>
      <c r="C153" s="23" t="s">
        <v>191</v>
      </c>
      <c r="D153" s="23" t="s">
        <v>40</v>
      </c>
      <c r="E153" s="23">
        <v>39.0</v>
      </c>
      <c r="F153" s="23" t="s">
        <v>552</v>
      </c>
      <c r="G153" s="23" t="s">
        <v>518</v>
      </c>
      <c r="H153" s="46"/>
      <c r="I153" s="46"/>
      <c r="J153" s="46"/>
      <c r="K153" s="46"/>
      <c r="L153" s="35"/>
      <c r="M153" s="35"/>
      <c r="N153" s="35"/>
      <c r="O153" s="35"/>
      <c r="P153" s="35"/>
      <c r="Q153" s="35"/>
      <c r="R153" s="35"/>
      <c r="S153" s="35"/>
      <c r="T153" s="35"/>
      <c r="U153" s="35"/>
      <c r="V153" s="35"/>
      <c r="W153" s="35"/>
      <c r="X153" s="35"/>
      <c r="Y153" s="35"/>
      <c r="Z153" s="35"/>
      <c r="AA153" s="35"/>
      <c r="AB153" s="35"/>
      <c r="AC153" s="35"/>
      <c r="AD153" s="35"/>
      <c r="AE153" s="35"/>
    </row>
    <row r="154">
      <c r="A154" s="23" t="s">
        <v>553</v>
      </c>
      <c r="B154" s="23" t="s">
        <v>190</v>
      </c>
      <c r="C154" s="23" t="s">
        <v>191</v>
      </c>
      <c r="D154" s="23" t="s">
        <v>42</v>
      </c>
      <c r="E154" s="23">
        <v>39.0</v>
      </c>
      <c r="F154" s="23" t="s">
        <v>554</v>
      </c>
      <c r="G154" s="23" t="s">
        <v>518</v>
      </c>
      <c r="H154" s="46"/>
      <c r="I154" s="46"/>
      <c r="J154" s="46"/>
      <c r="K154" s="46"/>
      <c r="L154" s="35"/>
      <c r="M154" s="35"/>
      <c r="N154" s="35"/>
      <c r="O154" s="35"/>
      <c r="P154" s="35"/>
      <c r="Q154" s="35"/>
      <c r="R154" s="35"/>
      <c r="S154" s="35"/>
      <c r="T154" s="35"/>
      <c r="U154" s="35"/>
      <c r="V154" s="35"/>
      <c r="W154" s="35"/>
      <c r="X154" s="35"/>
      <c r="Y154" s="35"/>
      <c r="Z154" s="35"/>
      <c r="AA154" s="35"/>
      <c r="AB154" s="35"/>
      <c r="AC154" s="35"/>
      <c r="AD154" s="35"/>
      <c r="AE154" s="35"/>
    </row>
    <row r="155">
      <c r="A155" s="23" t="s">
        <v>555</v>
      </c>
      <c r="B155" s="23" t="s">
        <v>190</v>
      </c>
      <c r="C155" s="23" t="s">
        <v>191</v>
      </c>
      <c r="D155" s="23" t="s">
        <v>43</v>
      </c>
      <c r="E155" s="23">
        <v>39.0</v>
      </c>
      <c r="F155" s="23" t="s">
        <v>556</v>
      </c>
      <c r="G155" s="23" t="s">
        <v>518</v>
      </c>
      <c r="H155" s="46"/>
      <c r="I155" s="46"/>
      <c r="J155" s="46"/>
      <c r="K155" s="46"/>
      <c r="L155" s="35"/>
      <c r="M155" s="35"/>
      <c r="N155" s="35"/>
      <c r="O155" s="35"/>
      <c r="P155" s="35"/>
      <c r="Q155" s="35"/>
      <c r="R155" s="35"/>
      <c r="S155" s="35"/>
      <c r="T155" s="35"/>
      <c r="U155" s="35"/>
      <c r="V155" s="35"/>
      <c r="W155" s="35"/>
      <c r="X155" s="35"/>
      <c r="Y155" s="35"/>
      <c r="Z155" s="35"/>
      <c r="AA155" s="35"/>
      <c r="AB155" s="35"/>
      <c r="AC155" s="35"/>
      <c r="AD155" s="35"/>
      <c r="AE155" s="35"/>
    </row>
    <row r="156">
      <c r="A156" s="23" t="s">
        <v>557</v>
      </c>
      <c r="B156" s="23" t="s">
        <v>190</v>
      </c>
      <c r="C156" s="23" t="s">
        <v>191</v>
      </c>
      <c r="D156" s="23" t="s">
        <v>45</v>
      </c>
      <c r="E156" s="23">
        <v>39.0</v>
      </c>
      <c r="F156" s="23" t="s">
        <v>558</v>
      </c>
      <c r="G156" s="23" t="s">
        <v>518</v>
      </c>
      <c r="H156" s="46"/>
      <c r="I156" s="46"/>
      <c r="J156" s="46"/>
      <c r="K156" s="46"/>
      <c r="L156" s="35"/>
      <c r="M156" s="35"/>
      <c r="N156" s="35"/>
      <c r="O156" s="35"/>
      <c r="P156" s="35"/>
      <c r="Q156" s="35"/>
      <c r="R156" s="35"/>
      <c r="S156" s="35"/>
      <c r="T156" s="35"/>
      <c r="U156" s="35"/>
      <c r="V156" s="35"/>
      <c r="W156" s="35"/>
      <c r="X156" s="35"/>
      <c r="Y156" s="35"/>
      <c r="Z156" s="35"/>
      <c r="AA156" s="35"/>
      <c r="AB156" s="35"/>
      <c r="AC156" s="35"/>
      <c r="AD156" s="35"/>
      <c r="AE156" s="35"/>
    </row>
    <row r="157">
      <c r="A157" s="23" t="s">
        <v>559</v>
      </c>
      <c r="B157" s="23" t="s">
        <v>190</v>
      </c>
      <c r="C157" s="23" t="s">
        <v>191</v>
      </c>
      <c r="D157" s="23" t="s">
        <v>46</v>
      </c>
      <c r="E157" s="23">
        <v>39.0</v>
      </c>
      <c r="F157" s="23" t="s">
        <v>560</v>
      </c>
      <c r="G157" s="23" t="s">
        <v>518</v>
      </c>
      <c r="H157" s="46"/>
      <c r="I157" s="46"/>
      <c r="J157" s="46"/>
      <c r="K157" s="46"/>
      <c r="L157" s="35"/>
      <c r="M157" s="35"/>
      <c r="N157" s="35"/>
      <c r="O157" s="35"/>
      <c r="P157" s="35"/>
      <c r="Q157" s="35"/>
      <c r="R157" s="35"/>
      <c r="S157" s="35"/>
      <c r="T157" s="35"/>
      <c r="U157" s="35"/>
      <c r="V157" s="35"/>
      <c r="W157" s="35"/>
      <c r="X157" s="35"/>
      <c r="Y157" s="35"/>
      <c r="Z157" s="35"/>
      <c r="AA157" s="35"/>
      <c r="AB157" s="35"/>
      <c r="AC157" s="35"/>
      <c r="AD157" s="35"/>
      <c r="AE157" s="35"/>
    </row>
    <row r="158">
      <c r="A158" s="23" t="s">
        <v>561</v>
      </c>
      <c r="B158" s="23" t="s">
        <v>190</v>
      </c>
      <c r="C158" s="23" t="s">
        <v>191</v>
      </c>
      <c r="D158" s="23" t="s">
        <v>48</v>
      </c>
      <c r="E158" s="23">
        <v>39.0</v>
      </c>
      <c r="F158" s="23" t="s">
        <v>562</v>
      </c>
      <c r="G158" s="23" t="s">
        <v>518</v>
      </c>
      <c r="H158" s="46"/>
      <c r="I158" s="46"/>
      <c r="J158" s="46"/>
      <c r="K158" s="46"/>
      <c r="L158" s="35"/>
      <c r="M158" s="35"/>
      <c r="N158" s="35"/>
      <c r="O158" s="35"/>
      <c r="P158" s="35"/>
      <c r="Q158" s="35"/>
      <c r="R158" s="35"/>
      <c r="S158" s="35"/>
      <c r="T158" s="35"/>
      <c r="U158" s="35"/>
      <c r="V158" s="35"/>
      <c r="W158" s="35"/>
      <c r="X158" s="35"/>
      <c r="Y158" s="35"/>
      <c r="Z158" s="35"/>
      <c r="AA158" s="35"/>
      <c r="AB158" s="35"/>
      <c r="AC158" s="35"/>
      <c r="AD158" s="35"/>
      <c r="AE158" s="35"/>
    </row>
    <row r="159">
      <c r="A159" s="23" t="s">
        <v>563</v>
      </c>
      <c r="B159" s="23" t="s">
        <v>190</v>
      </c>
      <c r="C159" s="23" t="s">
        <v>191</v>
      </c>
      <c r="D159" s="23" t="s">
        <v>51</v>
      </c>
      <c r="E159" s="23">
        <v>39.0</v>
      </c>
      <c r="F159" s="23" t="s">
        <v>564</v>
      </c>
      <c r="G159" s="23" t="s">
        <v>518</v>
      </c>
      <c r="H159" s="46"/>
      <c r="I159" s="46"/>
      <c r="J159" s="46"/>
      <c r="K159" s="46"/>
      <c r="L159" s="35"/>
      <c r="M159" s="35"/>
      <c r="N159" s="35"/>
      <c r="O159" s="35"/>
      <c r="P159" s="35"/>
      <c r="Q159" s="35"/>
      <c r="R159" s="35"/>
      <c r="S159" s="35"/>
      <c r="T159" s="35"/>
      <c r="U159" s="35"/>
      <c r="V159" s="35"/>
      <c r="W159" s="35"/>
      <c r="X159" s="35"/>
      <c r="Y159" s="35"/>
      <c r="Z159" s="35"/>
      <c r="AA159" s="35"/>
      <c r="AB159" s="35"/>
      <c r="AC159" s="35"/>
      <c r="AD159" s="35"/>
      <c r="AE159" s="35"/>
    </row>
    <row r="160">
      <c r="A160" s="23" t="s">
        <v>565</v>
      </c>
      <c r="B160" s="23" t="s">
        <v>190</v>
      </c>
      <c r="C160" s="23" t="s">
        <v>191</v>
      </c>
      <c r="D160" s="23" t="s">
        <v>52</v>
      </c>
      <c r="E160" s="23">
        <v>39.0</v>
      </c>
      <c r="F160" s="23" t="s">
        <v>566</v>
      </c>
      <c r="G160" s="23" t="s">
        <v>518</v>
      </c>
      <c r="H160" s="46"/>
      <c r="I160" s="46"/>
      <c r="J160" s="46"/>
      <c r="K160" s="46"/>
      <c r="L160" s="35"/>
      <c r="M160" s="35"/>
      <c r="N160" s="35"/>
      <c r="O160" s="35"/>
      <c r="P160" s="35"/>
      <c r="Q160" s="35"/>
      <c r="R160" s="35"/>
      <c r="S160" s="35"/>
      <c r="T160" s="35"/>
      <c r="U160" s="35"/>
      <c r="V160" s="35"/>
      <c r="W160" s="35"/>
      <c r="X160" s="35"/>
      <c r="Y160" s="35"/>
      <c r="Z160" s="35"/>
      <c r="AA160" s="35"/>
      <c r="AB160" s="35"/>
      <c r="AC160" s="35"/>
      <c r="AD160" s="35"/>
      <c r="AE160" s="35"/>
    </row>
    <row r="161">
      <c r="A161" s="23" t="s">
        <v>567</v>
      </c>
      <c r="B161" s="23" t="s">
        <v>190</v>
      </c>
      <c r="C161" s="23" t="s">
        <v>191</v>
      </c>
      <c r="D161" s="23" t="s">
        <v>55</v>
      </c>
      <c r="E161" s="23">
        <v>39.0</v>
      </c>
      <c r="F161" s="23" t="s">
        <v>568</v>
      </c>
      <c r="G161" s="23" t="s">
        <v>518</v>
      </c>
      <c r="H161" s="46"/>
      <c r="I161" s="46"/>
      <c r="J161" s="46"/>
      <c r="K161" s="46"/>
      <c r="L161" s="35"/>
      <c r="M161" s="35"/>
      <c r="N161" s="35"/>
      <c r="O161" s="35"/>
      <c r="P161" s="35"/>
      <c r="Q161" s="35"/>
      <c r="R161" s="35"/>
      <c r="S161" s="35"/>
      <c r="T161" s="35"/>
      <c r="U161" s="35"/>
      <c r="V161" s="35"/>
      <c r="W161" s="35"/>
      <c r="X161" s="35"/>
      <c r="Y161" s="35"/>
      <c r="Z161" s="35"/>
      <c r="AA161" s="35"/>
      <c r="AB161" s="35"/>
      <c r="AC161" s="35"/>
      <c r="AD161" s="35"/>
      <c r="AE161" s="35"/>
    </row>
    <row r="162">
      <c r="A162" s="23" t="s">
        <v>569</v>
      </c>
      <c r="B162" s="23" t="s">
        <v>190</v>
      </c>
      <c r="C162" s="23" t="s">
        <v>191</v>
      </c>
      <c r="D162" s="23" t="s">
        <v>57</v>
      </c>
      <c r="E162" s="23">
        <v>39.0</v>
      </c>
      <c r="F162" s="23" t="s">
        <v>570</v>
      </c>
      <c r="G162" s="23" t="s">
        <v>518</v>
      </c>
      <c r="H162" s="46"/>
      <c r="I162" s="46"/>
      <c r="J162" s="46"/>
      <c r="K162" s="46"/>
      <c r="L162" s="35"/>
      <c r="M162" s="35"/>
      <c r="N162" s="35"/>
      <c r="O162" s="35"/>
      <c r="P162" s="35"/>
      <c r="Q162" s="35"/>
      <c r="R162" s="35"/>
      <c r="S162" s="35"/>
      <c r="T162" s="35"/>
      <c r="U162" s="35"/>
      <c r="V162" s="35"/>
      <c r="W162" s="35"/>
      <c r="X162" s="35"/>
      <c r="Y162" s="35"/>
      <c r="Z162" s="35"/>
      <c r="AA162" s="35"/>
      <c r="AB162" s="35"/>
      <c r="AC162" s="35"/>
      <c r="AD162" s="35"/>
      <c r="AE162" s="35"/>
    </row>
    <row r="163">
      <c r="A163" s="23" t="s">
        <v>571</v>
      </c>
      <c r="B163" s="23" t="s">
        <v>190</v>
      </c>
      <c r="C163" s="23" t="s">
        <v>191</v>
      </c>
      <c r="D163" s="23" t="s">
        <v>59</v>
      </c>
      <c r="E163" s="23">
        <v>39.0</v>
      </c>
      <c r="F163" s="23" t="s">
        <v>572</v>
      </c>
      <c r="G163" s="23" t="s">
        <v>518</v>
      </c>
      <c r="H163" s="46"/>
      <c r="I163" s="46"/>
      <c r="J163" s="46"/>
      <c r="K163" s="46"/>
      <c r="L163" s="35"/>
      <c r="M163" s="35"/>
      <c r="N163" s="35"/>
      <c r="O163" s="35"/>
      <c r="P163" s="35"/>
      <c r="Q163" s="35"/>
      <c r="R163" s="35"/>
      <c r="S163" s="35"/>
      <c r="T163" s="35"/>
      <c r="U163" s="35"/>
      <c r="V163" s="35"/>
      <c r="W163" s="35"/>
      <c r="X163" s="35"/>
      <c r="Y163" s="35"/>
      <c r="Z163" s="35"/>
      <c r="AA163" s="35"/>
      <c r="AB163" s="35"/>
      <c r="AC163" s="35"/>
      <c r="AD163" s="35"/>
      <c r="AE163" s="35"/>
    </row>
    <row r="164">
      <c r="A164" s="23" t="s">
        <v>573</v>
      </c>
      <c r="B164" s="23" t="s">
        <v>190</v>
      </c>
      <c r="C164" s="23" t="s">
        <v>191</v>
      </c>
      <c r="D164" s="23" t="s">
        <v>60</v>
      </c>
      <c r="E164" s="23">
        <v>39.0</v>
      </c>
      <c r="F164" s="23" t="s">
        <v>574</v>
      </c>
      <c r="G164" s="23" t="s">
        <v>518</v>
      </c>
      <c r="H164" s="46"/>
      <c r="I164" s="46"/>
      <c r="J164" s="46"/>
      <c r="K164" s="46"/>
      <c r="L164" s="35"/>
      <c r="M164" s="35"/>
      <c r="N164" s="35"/>
      <c r="O164" s="35"/>
      <c r="P164" s="35"/>
      <c r="Q164" s="35"/>
      <c r="R164" s="35"/>
      <c r="S164" s="35"/>
      <c r="T164" s="35"/>
      <c r="U164" s="35"/>
      <c r="V164" s="35"/>
      <c r="W164" s="35"/>
      <c r="X164" s="35"/>
      <c r="Y164" s="35"/>
      <c r="Z164" s="35"/>
      <c r="AA164" s="35"/>
      <c r="AB164" s="35"/>
      <c r="AC164" s="35"/>
      <c r="AD164" s="35"/>
      <c r="AE164" s="35"/>
    </row>
    <row r="165">
      <c r="A165" s="23" t="s">
        <v>575</v>
      </c>
      <c r="B165" s="23" t="s">
        <v>190</v>
      </c>
      <c r="C165" s="23" t="s">
        <v>191</v>
      </c>
      <c r="D165" s="23" t="s">
        <v>61</v>
      </c>
      <c r="E165" s="23">
        <v>39.0</v>
      </c>
      <c r="F165" s="23" t="s">
        <v>576</v>
      </c>
      <c r="G165" s="23" t="s">
        <v>518</v>
      </c>
      <c r="H165" s="46"/>
      <c r="I165" s="46"/>
      <c r="J165" s="46"/>
      <c r="K165" s="46"/>
      <c r="L165" s="35"/>
      <c r="M165" s="35"/>
      <c r="N165" s="35"/>
      <c r="O165" s="35"/>
      <c r="P165" s="35"/>
      <c r="Q165" s="35"/>
      <c r="R165" s="35"/>
      <c r="S165" s="35"/>
      <c r="T165" s="35"/>
      <c r="U165" s="35"/>
      <c r="V165" s="35"/>
      <c r="W165" s="35"/>
      <c r="X165" s="35"/>
      <c r="Y165" s="35"/>
      <c r="Z165" s="35"/>
      <c r="AA165" s="35"/>
      <c r="AB165" s="35"/>
      <c r="AC165" s="35"/>
      <c r="AD165" s="35"/>
      <c r="AE165" s="35"/>
    </row>
    <row r="166">
      <c r="A166" s="23" t="s">
        <v>577</v>
      </c>
      <c r="B166" s="23" t="s">
        <v>190</v>
      </c>
      <c r="C166" s="23" t="s">
        <v>191</v>
      </c>
      <c r="D166" s="23" t="s">
        <v>62</v>
      </c>
      <c r="E166" s="23">
        <v>39.0</v>
      </c>
      <c r="F166" s="23" t="s">
        <v>578</v>
      </c>
      <c r="G166" s="23" t="s">
        <v>518</v>
      </c>
      <c r="H166" s="46"/>
      <c r="I166" s="46"/>
      <c r="J166" s="46"/>
      <c r="K166" s="46"/>
      <c r="L166" s="35"/>
      <c r="M166" s="35"/>
      <c r="N166" s="35"/>
      <c r="O166" s="35"/>
      <c r="P166" s="35"/>
      <c r="Q166" s="35"/>
      <c r="R166" s="35"/>
      <c r="S166" s="35"/>
      <c r="T166" s="35"/>
      <c r="U166" s="35"/>
      <c r="V166" s="35"/>
      <c r="W166" s="35"/>
      <c r="X166" s="35"/>
      <c r="Y166" s="35"/>
      <c r="Z166" s="35"/>
      <c r="AA166" s="35"/>
      <c r="AB166" s="35"/>
      <c r="AC166" s="35"/>
      <c r="AD166" s="35"/>
      <c r="AE166" s="35"/>
    </row>
    <row r="167">
      <c r="A167" s="23" t="s">
        <v>579</v>
      </c>
      <c r="B167" s="23" t="s">
        <v>190</v>
      </c>
      <c r="C167" s="23" t="s">
        <v>191</v>
      </c>
      <c r="D167" s="23" t="s">
        <v>63</v>
      </c>
      <c r="E167" s="23">
        <v>39.0</v>
      </c>
      <c r="F167" s="23" t="s">
        <v>580</v>
      </c>
      <c r="G167" s="23" t="s">
        <v>518</v>
      </c>
      <c r="H167" s="46"/>
      <c r="I167" s="46"/>
      <c r="J167" s="46"/>
      <c r="K167" s="46"/>
      <c r="L167" s="35"/>
      <c r="M167" s="35"/>
      <c r="N167" s="35"/>
      <c r="O167" s="35"/>
      <c r="P167" s="35"/>
      <c r="Q167" s="35"/>
      <c r="R167" s="35"/>
      <c r="S167" s="35"/>
      <c r="T167" s="35"/>
      <c r="U167" s="35"/>
      <c r="V167" s="35"/>
      <c r="W167" s="35"/>
      <c r="X167" s="35"/>
      <c r="Y167" s="35"/>
      <c r="Z167" s="35"/>
      <c r="AA167" s="35"/>
      <c r="AB167" s="35"/>
      <c r="AC167" s="35"/>
      <c r="AD167" s="35"/>
      <c r="AE167" s="35"/>
    </row>
    <row r="168">
      <c r="A168" s="23" t="s">
        <v>581</v>
      </c>
      <c r="B168" s="23" t="s">
        <v>190</v>
      </c>
      <c r="C168" s="23" t="s">
        <v>191</v>
      </c>
      <c r="D168" s="23" t="s">
        <v>64</v>
      </c>
      <c r="E168" s="23">
        <v>39.0</v>
      </c>
      <c r="F168" s="23" t="s">
        <v>582</v>
      </c>
      <c r="G168" s="23" t="s">
        <v>518</v>
      </c>
      <c r="H168" s="46"/>
      <c r="I168" s="46"/>
      <c r="J168" s="46"/>
      <c r="K168" s="46"/>
      <c r="L168" s="35"/>
      <c r="M168" s="35"/>
      <c r="N168" s="35"/>
      <c r="O168" s="35"/>
      <c r="P168" s="35"/>
      <c r="Q168" s="35"/>
      <c r="R168" s="35"/>
      <c r="S168" s="35"/>
      <c r="T168" s="35"/>
      <c r="U168" s="35"/>
      <c r="V168" s="35"/>
      <c r="W168" s="35"/>
      <c r="X168" s="35"/>
      <c r="Y168" s="35"/>
      <c r="Z168" s="35"/>
      <c r="AA168" s="35"/>
      <c r="AB168" s="35"/>
      <c r="AC168" s="35"/>
      <c r="AD168" s="35"/>
      <c r="AE168" s="35"/>
    </row>
    <row r="169">
      <c r="A169" s="23" t="s">
        <v>583</v>
      </c>
      <c r="B169" s="23" t="s">
        <v>190</v>
      </c>
      <c r="C169" s="23" t="s">
        <v>191</v>
      </c>
      <c r="D169" s="23" t="s">
        <v>66</v>
      </c>
      <c r="E169" s="23">
        <v>39.0</v>
      </c>
      <c r="F169" s="23" t="s">
        <v>584</v>
      </c>
      <c r="G169" s="23" t="s">
        <v>518</v>
      </c>
      <c r="H169" s="46"/>
      <c r="I169" s="46"/>
      <c r="J169" s="46"/>
      <c r="K169" s="46"/>
      <c r="L169" s="35"/>
      <c r="M169" s="35"/>
      <c r="N169" s="35"/>
      <c r="O169" s="35"/>
      <c r="P169" s="35"/>
      <c r="Q169" s="35"/>
      <c r="R169" s="35"/>
      <c r="S169" s="35"/>
      <c r="T169" s="35"/>
      <c r="U169" s="35"/>
      <c r="V169" s="35"/>
      <c r="W169" s="35"/>
      <c r="X169" s="35"/>
      <c r="Y169" s="35"/>
      <c r="Z169" s="35"/>
      <c r="AA169" s="35"/>
      <c r="AB169" s="35"/>
      <c r="AC169" s="35"/>
      <c r="AD169" s="35"/>
      <c r="AE169" s="35"/>
    </row>
    <row r="170">
      <c r="A170" s="23" t="s">
        <v>585</v>
      </c>
      <c r="B170" s="23" t="s">
        <v>190</v>
      </c>
      <c r="C170" s="23" t="s">
        <v>191</v>
      </c>
      <c r="D170" s="23" t="s">
        <v>67</v>
      </c>
      <c r="E170" s="23">
        <v>39.0</v>
      </c>
      <c r="F170" s="23" t="s">
        <v>586</v>
      </c>
      <c r="G170" s="23" t="s">
        <v>518</v>
      </c>
      <c r="H170" s="46"/>
      <c r="I170" s="46"/>
      <c r="J170" s="46"/>
      <c r="K170" s="46"/>
      <c r="L170" s="35"/>
      <c r="M170" s="35"/>
      <c r="N170" s="35"/>
      <c r="O170" s="35"/>
      <c r="P170" s="35"/>
      <c r="Q170" s="35"/>
      <c r="R170" s="35"/>
      <c r="S170" s="35"/>
      <c r="T170" s="35"/>
      <c r="U170" s="35"/>
      <c r="V170" s="35"/>
      <c r="W170" s="35"/>
      <c r="X170" s="35"/>
      <c r="Y170" s="35"/>
      <c r="Z170" s="35"/>
      <c r="AA170" s="35"/>
      <c r="AB170" s="35"/>
      <c r="AC170" s="35"/>
      <c r="AD170" s="35"/>
      <c r="AE170" s="35"/>
    </row>
    <row r="171">
      <c r="A171" s="23" t="s">
        <v>587</v>
      </c>
      <c r="B171" s="23" t="s">
        <v>190</v>
      </c>
      <c r="C171" s="23" t="s">
        <v>191</v>
      </c>
      <c r="D171" s="23" t="s">
        <v>68</v>
      </c>
      <c r="E171" s="23">
        <v>39.0</v>
      </c>
      <c r="F171" s="23" t="s">
        <v>588</v>
      </c>
      <c r="G171" s="23" t="s">
        <v>518</v>
      </c>
      <c r="H171" s="46"/>
      <c r="I171" s="46"/>
      <c r="J171" s="46"/>
      <c r="K171" s="46"/>
      <c r="L171" s="35"/>
      <c r="M171" s="35"/>
      <c r="N171" s="35"/>
      <c r="O171" s="35"/>
      <c r="P171" s="35"/>
      <c r="Q171" s="35"/>
      <c r="R171" s="35"/>
      <c r="S171" s="35"/>
      <c r="T171" s="35"/>
      <c r="U171" s="35"/>
      <c r="V171" s="35"/>
      <c r="W171" s="35"/>
      <c r="X171" s="35"/>
      <c r="Y171" s="35"/>
      <c r="Z171" s="35"/>
      <c r="AA171" s="35"/>
      <c r="AB171" s="35"/>
      <c r="AC171" s="35"/>
      <c r="AD171" s="35"/>
      <c r="AE171" s="35"/>
    </row>
    <row r="172">
      <c r="A172" s="23" t="s">
        <v>589</v>
      </c>
      <c r="B172" s="23" t="s">
        <v>190</v>
      </c>
      <c r="C172" s="23" t="s">
        <v>191</v>
      </c>
      <c r="D172" s="23" t="s">
        <v>69</v>
      </c>
      <c r="E172" s="23">
        <v>39.0</v>
      </c>
      <c r="F172" s="23" t="s">
        <v>590</v>
      </c>
      <c r="G172" s="23" t="s">
        <v>518</v>
      </c>
      <c r="H172" s="46"/>
      <c r="I172" s="46"/>
      <c r="J172" s="46"/>
      <c r="K172" s="46"/>
      <c r="L172" s="35"/>
      <c r="M172" s="35"/>
      <c r="N172" s="35"/>
      <c r="O172" s="35"/>
      <c r="P172" s="35"/>
      <c r="Q172" s="35"/>
      <c r="R172" s="35"/>
      <c r="S172" s="35"/>
      <c r="T172" s="35"/>
      <c r="U172" s="35"/>
      <c r="V172" s="35"/>
      <c r="W172" s="35"/>
      <c r="X172" s="35"/>
      <c r="Y172" s="35"/>
      <c r="Z172" s="35"/>
      <c r="AA172" s="35"/>
      <c r="AB172" s="35"/>
      <c r="AC172" s="35"/>
      <c r="AD172" s="35"/>
      <c r="AE172" s="35"/>
    </row>
    <row r="173">
      <c r="A173" s="23" t="s">
        <v>591</v>
      </c>
      <c r="B173" s="23" t="s">
        <v>190</v>
      </c>
      <c r="C173" s="23" t="s">
        <v>191</v>
      </c>
      <c r="D173" s="23" t="s">
        <v>70</v>
      </c>
      <c r="E173" s="23">
        <v>39.0</v>
      </c>
      <c r="F173" s="23" t="s">
        <v>592</v>
      </c>
      <c r="G173" s="23" t="s">
        <v>518</v>
      </c>
      <c r="H173" s="46"/>
      <c r="I173" s="46"/>
      <c r="J173" s="46"/>
      <c r="K173" s="46"/>
      <c r="L173" s="35"/>
      <c r="M173" s="35"/>
      <c r="N173" s="35"/>
      <c r="O173" s="35"/>
      <c r="P173" s="35"/>
      <c r="Q173" s="35"/>
      <c r="R173" s="35"/>
      <c r="S173" s="35"/>
      <c r="T173" s="35"/>
      <c r="U173" s="35"/>
      <c r="V173" s="35"/>
      <c r="W173" s="35"/>
      <c r="X173" s="35"/>
      <c r="Y173" s="35"/>
      <c r="Z173" s="35"/>
      <c r="AA173" s="35"/>
      <c r="AB173" s="35"/>
      <c r="AC173" s="35"/>
      <c r="AD173" s="35"/>
      <c r="AE173" s="35"/>
    </row>
    <row r="174">
      <c r="A174" s="23" t="s">
        <v>593</v>
      </c>
      <c r="B174" s="23" t="s">
        <v>190</v>
      </c>
      <c r="C174" s="23" t="s">
        <v>191</v>
      </c>
      <c r="D174" s="23" t="s">
        <v>71</v>
      </c>
      <c r="E174" s="23">
        <v>39.0</v>
      </c>
      <c r="F174" s="23" t="s">
        <v>594</v>
      </c>
      <c r="G174" s="23" t="s">
        <v>518</v>
      </c>
      <c r="H174" s="46"/>
      <c r="I174" s="46"/>
      <c r="J174" s="46"/>
      <c r="K174" s="46"/>
      <c r="L174" s="35"/>
      <c r="M174" s="35"/>
      <c r="N174" s="35"/>
      <c r="O174" s="35"/>
      <c r="P174" s="35"/>
      <c r="Q174" s="35"/>
      <c r="R174" s="35"/>
      <c r="S174" s="35"/>
      <c r="T174" s="35"/>
      <c r="U174" s="35"/>
      <c r="V174" s="35"/>
      <c r="W174" s="35"/>
      <c r="X174" s="35"/>
      <c r="Y174" s="35"/>
      <c r="Z174" s="35"/>
      <c r="AA174" s="35"/>
      <c r="AB174" s="35"/>
      <c r="AC174" s="35"/>
      <c r="AD174" s="35"/>
      <c r="AE174" s="35"/>
    </row>
    <row r="175">
      <c r="A175" s="23" t="s">
        <v>595</v>
      </c>
      <c r="B175" s="23" t="s">
        <v>190</v>
      </c>
      <c r="C175" s="23" t="s">
        <v>191</v>
      </c>
      <c r="D175" s="23" t="s">
        <v>72</v>
      </c>
      <c r="E175" s="23">
        <v>39.0</v>
      </c>
      <c r="F175" s="23" t="s">
        <v>596</v>
      </c>
      <c r="G175" s="23" t="s">
        <v>518</v>
      </c>
      <c r="H175" s="46"/>
      <c r="I175" s="46"/>
      <c r="J175" s="46"/>
      <c r="K175" s="46"/>
      <c r="L175" s="35"/>
      <c r="M175" s="35"/>
      <c r="N175" s="35"/>
      <c r="O175" s="35"/>
      <c r="P175" s="35"/>
      <c r="Q175" s="35"/>
      <c r="R175" s="35"/>
      <c r="S175" s="35"/>
      <c r="T175" s="35"/>
      <c r="U175" s="35"/>
      <c r="V175" s="35"/>
      <c r="W175" s="35"/>
      <c r="X175" s="35"/>
      <c r="Y175" s="35"/>
      <c r="Z175" s="35"/>
      <c r="AA175" s="35"/>
      <c r="AB175" s="35"/>
      <c r="AC175" s="35"/>
      <c r="AD175" s="35"/>
      <c r="AE175" s="35"/>
    </row>
    <row r="176">
      <c r="A176" s="23" t="s">
        <v>597</v>
      </c>
      <c r="B176" s="23" t="s">
        <v>190</v>
      </c>
      <c r="C176" s="23" t="s">
        <v>191</v>
      </c>
      <c r="D176" s="23" t="s">
        <v>74</v>
      </c>
      <c r="E176" s="23">
        <v>39.0</v>
      </c>
      <c r="F176" s="23" t="s">
        <v>598</v>
      </c>
      <c r="G176" s="23" t="s">
        <v>518</v>
      </c>
      <c r="H176" s="46"/>
      <c r="I176" s="46"/>
      <c r="J176" s="46"/>
      <c r="K176" s="46"/>
      <c r="L176" s="35"/>
      <c r="M176" s="35"/>
      <c r="N176" s="35"/>
      <c r="O176" s="35"/>
      <c r="P176" s="35"/>
      <c r="Q176" s="35"/>
      <c r="R176" s="35"/>
      <c r="S176" s="35"/>
      <c r="T176" s="35"/>
      <c r="U176" s="35"/>
      <c r="V176" s="35"/>
      <c r="W176" s="35"/>
      <c r="X176" s="35"/>
      <c r="Y176" s="35"/>
      <c r="Z176" s="35"/>
      <c r="AA176" s="35"/>
      <c r="AB176" s="35"/>
      <c r="AC176" s="35"/>
      <c r="AD176" s="35"/>
      <c r="AE176" s="35"/>
    </row>
    <row r="177">
      <c r="A177" s="23" t="s">
        <v>599</v>
      </c>
      <c r="B177" s="23" t="s">
        <v>190</v>
      </c>
      <c r="C177" s="23" t="s">
        <v>191</v>
      </c>
      <c r="D177" s="23" t="s">
        <v>75</v>
      </c>
      <c r="E177" s="23">
        <v>39.0</v>
      </c>
      <c r="F177" s="23" t="s">
        <v>600</v>
      </c>
      <c r="G177" s="23" t="s">
        <v>518</v>
      </c>
      <c r="H177" s="46"/>
      <c r="I177" s="46"/>
      <c r="J177" s="46"/>
      <c r="K177" s="46"/>
      <c r="L177" s="35"/>
      <c r="M177" s="35"/>
      <c r="N177" s="35"/>
      <c r="O177" s="35"/>
      <c r="P177" s="35"/>
      <c r="Q177" s="35"/>
      <c r="R177" s="35"/>
      <c r="S177" s="35"/>
      <c r="T177" s="35"/>
      <c r="U177" s="35"/>
      <c r="V177" s="35"/>
      <c r="W177" s="35"/>
      <c r="X177" s="35"/>
      <c r="Y177" s="35"/>
      <c r="Z177" s="35"/>
      <c r="AA177" s="35"/>
      <c r="AB177" s="35"/>
      <c r="AC177" s="35"/>
      <c r="AD177" s="35"/>
      <c r="AE177" s="35"/>
    </row>
    <row r="178">
      <c r="A178" s="23" t="s">
        <v>601</v>
      </c>
      <c r="B178" s="23" t="s">
        <v>190</v>
      </c>
      <c r="C178" s="23" t="s">
        <v>191</v>
      </c>
      <c r="D178" s="23" t="s">
        <v>76</v>
      </c>
      <c r="E178" s="23">
        <v>39.0</v>
      </c>
      <c r="F178" s="23" t="s">
        <v>602</v>
      </c>
      <c r="G178" s="23" t="s">
        <v>518</v>
      </c>
      <c r="H178" s="46"/>
      <c r="I178" s="46"/>
      <c r="J178" s="46"/>
      <c r="K178" s="46"/>
      <c r="L178" s="35"/>
      <c r="M178" s="35"/>
      <c r="N178" s="35"/>
      <c r="O178" s="35"/>
      <c r="P178" s="35"/>
      <c r="Q178" s="35"/>
      <c r="R178" s="35"/>
      <c r="S178" s="35"/>
      <c r="T178" s="35"/>
      <c r="U178" s="35"/>
      <c r="V178" s="35"/>
      <c r="W178" s="35"/>
      <c r="X178" s="35"/>
      <c r="Y178" s="35"/>
      <c r="Z178" s="35"/>
      <c r="AA178" s="35"/>
      <c r="AB178" s="35"/>
      <c r="AC178" s="35"/>
      <c r="AD178" s="35"/>
      <c r="AE178" s="35"/>
    </row>
    <row r="179">
      <c r="A179" s="23" t="s">
        <v>603</v>
      </c>
      <c r="B179" s="23" t="s">
        <v>190</v>
      </c>
      <c r="C179" s="23" t="s">
        <v>191</v>
      </c>
      <c r="D179" s="23" t="s">
        <v>77</v>
      </c>
      <c r="E179" s="23">
        <v>39.0</v>
      </c>
      <c r="F179" s="23" t="s">
        <v>604</v>
      </c>
      <c r="G179" s="23" t="s">
        <v>518</v>
      </c>
      <c r="H179" s="46"/>
      <c r="I179" s="46"/>
      <c r="J179" s="46"/>
      <c r="K179" s="46"/>
      <c r="L179" s="35"/>
      <c r="M179" s="35"/>
      <c r="N179" s="35"/>
      <c r="O179" s="35"/>
      <c r="P179" s="35"/>
      <c r="Q179" s="35"/>
      <c r="R179" s="35"/>
      <c r="S179" s="35"/>
      <c r="T179" s="35"/>
      <c r="U179" s="35"/>
      <c r="V179" s="35"/>
      <c r="W179" s="35"/>
      <c r="X179" s="35"/>
      <c r="Y179" s="35"/>
      <c r="Z179" s="35"/>
      <c r="AA179" s="35"/>
      <c r="AB179" s="35"/>
      <c r="AC179" s="35"/>
      <c r="AD179" s="35"/>
      <c r="AE179" s="35"/>
    </row>
    <row r="180">
      <c r="A180" s="23" t="s">
        <v>605</v>
      </c>
      <c r="B180" s="23" t="s">
        <v>190</v>
      </c>
      <c r="C180" s="23" t="s">
        <v>191</v>
      </c>
      <c r="D180" s="23" t="s">
        <v>78</v>
      </c>
      <c r="E180" s="23">
        <v>39.0</v>
      </c>
      <c r="F180" s="23" t="s">
        <v>606</v>
      </c>
      <c r="G180" s="23" t="s">
        <v>518</v>
      </c>
      <c r="H180" s="46"/>
      <c r="I180" s="46"/>
      <c r="J180" s="46"/>
      <c r="K180" s="46"/>
      <c r="L180" s="35"/>
      <c r="M180" s="35"/>
      <c r="N180" s="35"/>
      <c r="O180" s="35"/>
      <c r="P180" s="35"/>
      <c r="Q180" s="35"/>
      <c r="R180" s="35"/>
      <c r="S180" s="35"/>
      <c r="T180" s="35"/>
      <c r="U180" s="35"/>
      <c r="V180" s="35"/>
      <c r="W180" s="35"/>
      <c r="X180" s="35"/>
      <c r="Y180" s="35"/>
      <c r="Z180" s="35"/>
      <c r="AA180" s="35"/>
      <c r="AB180" s="35"/>
      <c r="AC180" s="35"/>
      <c r="AD180" s="35"/>
      <c r="AE180" s="35"/>
    </row>
    <row r="181">
      <c r="A181" s="23" t="s">
        <v>607</v>
      </c>
      <c r="B181" s="23" t="s">
        <v>190</v>
      </c>
      <c r="C181" s="23" t="s">
        <v>191</v>
      </c>
      <c r="D181" s="23" t="s">
        <v>79</v>
      </c>
      <c r="E181" s="23">
        <v>39.0</v>
      </c>
      <c r="F181" s="23" t="s">
        <v>608</v>
      </c>
      <c r="G181" s="23" t="s">
        <v>518</v>
      </c>
      <c r="H181" s="46"/>
      <c r="I181" s="46"/>
      <c r="J181" s="46"/>
      <c r="K181" s="46"/>
      <c r="L181" s="35"/>
      <c r="M181" s="35"/>
      <c r="N181" s="35"/>
      <c r="O181" s="35"/>
      <c r="P181" s="35"/>
      <c r="Q181" s="35"/>
      <c r="R181" s="35"/>
      <c r="S181" s="35"/>
      <c r="T181" s="35"/>
      <c r="U181" s="35"/>
      <c r="V181" s="35"/>
      <c r="W181" s="35"/>
      <c r="X181" s="35"/>
      <c r="Y181" s="35"/>
      <c r="Z181" s="35"/>
      <c r="AA181" s="35"/>
      <c r="AB181" s="35"/>
      <c r="AC181" s="35"/>
      <c r="AD181" s="35"/>
      <c r="AE181" s="35"/>
    </row>
    <row r="182">
      <c r="A182" s="23" t="s">
        <v>609</v>
      </c>
      <c r="B182" s="23" t="s">
        <v>190</v>
      </c>
      <c r="C182" s="23" t="s">
        <v>191</v>
      </c>
      <c r="D182" s="23" t="s">
        <v>80</v>
      </c>
      <c r="E182" s="23">
        <v>39.0</v>
      </c>
      <c r="F182" s="23" t="s">
        <v>610</v>
      </c>
      <c r="G182" s="23" t="s">
        <v>518</v>
      </c>
      <c r="H182" s="46"/>
      <c r="I182" s="46"/>
      <c r="J182" s="46"/>
      <c r="K182" s="46"/>
      <c r="L182" s="35"/>
      <c r="M182" s="35"/>
      <c r="N182" s="35"/>
      <c r="O182" s="35"/>
      <c r="P182" s="35"/>
      <c r="Q182" s="35"/>
      <c r="R182" s="35"/>
      <c r="S182" s="35"/>
      <c r="T182" s="35"/>
      <c r="U182" s="35"/>
      <c r="V182" s="35"/>
      <c r="W182" s="35"/>
      <c r="X182" s="35"/>
      <c r="Y182" s="35"/>
      <c r="Z182" s="35"/>
      <c r="AA182" s="35"/>
      <c r="AB182" s="35"/>
      <c r="AC182" s="35"/>
      <c r="AD182" s="35"/>
      <c r="AE182" s="35"/>
    </row>
    <row r="183">
      <c r="A183" s="23" t="s">
        <v>611</v>
      </c>
      <c r="B183" s="23" t="s">
        <v>190</v>
      </c>
      <c r="C183" s="23" t="s">
        <v>191</v>
      </c>
      <c r="D183" s="23" t="s">
        <v>81</v>
      </c>
      <c r="E183" s="23">
        <v>39.0</v>
      </c>
      <c r="F183" s="23" t="s">
        <v>612</v>
      </c>
      <c r="G183" s="23" t="s">
        <v>518</v>
      </c>
      <c r="H183" s="46"/>
      <c r="I183" s="46"/>
      <c r="J183" s="46"/>
      <c r="K183" s="46"/>
      <c r="L183" s="35"/>
      <c r="M183" s="35"/>
      <c r="N183" s="35"/>
      <c r="O183" s="35"/>
      <c r="P183" s="35"/>
      <c r="Q183" s="35"/>
      <c r="R183" s="35"/>
      <c r="S183" s="35"/>
      <c r="T183" s="35"/>
      <c r="U183" s="35"/>
      <c r="V183" s="35"/>
      <c r="W183" s="35"/>
      <c r="X183" s="35"/>
      <c r="Y183" s="35"/>
      <c r="Z183" s="35"/>
      <c r="AA183" s="35"/>
      <c r="AB183" s="35"/>
      <c r="AC183" s="35"/>
      <c r="AD183" s="35"/>
      <c r="AE183" s="35"/>
    </row>
    <row r="184">
      <c r="A184" s="23" t="s">
        <v>613</v>
      </c>
      <c r="B184" s="23" t="s">
        <v>190</v>
      </c>
      <c r="C184" s="23" t="s">
        <v>191</v>
      </c>
      <c r="D184" s="23" t="s">
        <v>82</v>
      </c>
      <c r="E184" s="23">
        <v>39.0</v>
      </c>
      <c r="F184" s="23" t="s">
        <v>614</v>
      </c>
      <c r="G184" s="23" t="s">
        <v>518</v>
      </c>
      <c r="H184" s="46"/>
      <c r="I184" s="46"/>
      <c r="J184" s="46"/>
      <c r="K184" s="46"/>
      <c r="L184" s="35"/>
      <c r="M184" s="35"/>
      <c r="N184" s="35"/>
      <c r="O184" s="35"/>
      <c r="P184" s="35"/>
      <c r="Q184" s="35"/>
      <c r="R184" s="35"/>
      <c r="S184" s="35"/>
      <c r="T184" s="35"/>
      <c r="U184" s="35"/>
      <c r="V184" s="35"/>
      <c r="W184" s="35"/>
      <c r="X184" s="35"/>
      <c r="Y184" s="35"/>
      <c r="Z184" s="35"/>
      <c r="AA184" s="35"/>
      <c r="AB184" s="35"/>
      <c r="AC184" s="35"/>
      <c r="AD184" s="35"/>
      <c r="AE184" s="35"/>
    </row>
    <row r="185">
      <c r="A185" s="23" t="s">
        <v>615</v>
      </c>
      <c r="B185" s="23" t="s">
        <v>190</v>
      </c>
      <c r="C185" s="23" t="s">
        <v>191</v>
      </c>
      <c r="D185" s="23" t="s">
        <v>83</v>
      </c>
      <c r="E185" s="23">
        <v>39.0</v>
      </c>
      <c r="F185" s="23" t="s">
        <v>616</v>
      </c>
      <c r="G185" s="23" t="s">
        <v>518</v>
      </c>
      <c r="H185" s="46"/>
      <c r="I185" s="46"/>
      <c r="J185" s="46"/>
      <c r="K185" s="46"/>
      <c r="L185" s="35"/>
      <c r="M185" s="35"/>
      <c r="N185" s="35"/>
      <c r="O185" s="35"/>
      <c r="P185" s="35"/>
      <c r="Q185" s="35"/>
      <c r="R185" s="35"/>
      <c r="S185" s="35"/>
      <c r="T185" s="35"/>
      <c r="U185" s="35"/>
      <c r="V185" s="35"/>
      <c r="W185" s="35"/>
      <c r="X185" s="35"/>
      <c r="Y185" s="35"/>
      <c r="Z185" s="35"/>
      <c r="AA185" s="35"/>
      <c r="AB185" s="35"/>
      <c r="AC185" s="35"/>
      <c r="AD185" s="35"/>
      <c r="AE185" s="35"/>
    </row>
    <row r="186">
      <c r="A186" s="23" t="s">
        <v>617</v>
      </c>
      <c r="B186" s="23" t="s">
        <v>190</v>
      </c>
      <c r="C186" s="23" t="s">
        <v>191</v>
      </c>
      <c r="D186" s="23" t="s">
        <v>84</v>
      </c>
      <c r="E186" s="23">
        <v>39.0</v>
      </c>
      <c r="F186" s="23" t="s">
        <v>618</v>
      </c>
      <c r="G186" s="23" t="s">
        <v>518</v>
      </c>
      <c r="H186" s="46"/>
      <c r="I186" s="46"/>
      <c r="J186" s="46"/>
      <c r="K186" s="46"/>
      <c r="L186" s="35"/>
      <c r="M186" s="35"/>
      <c r="N186" s="35"/>
      <c r="O186" s="35"/>
      <c r="P186" s="35"/>
      <c r="Q186" s="35"/>
      <c r="R186" s="35"/>
      <c r="S186" s="35"/>
      <c r="T186" s="35"/>
      <c r="U186" s="35"/>
      <c r="V186" s="35"/>
      <c r="W186" s="35"/>
      <c r="X186" s="35"/>
      <c r="Y186" s="35"/>
      <c r="Z186" s="35"/>
      <c r="AA186" s="35"/>
      <c r="AB186" s="35"/>
      <c r="AC186" s="35"/>
      <c r="AD186" s="35"/>
      <c r="AE186" s="35"/>
    </row>
    <row r="187">
      <c r="A187" s="23" t="s">
        <v>619</v>
      </c>
      <c r="B187" s="23" t="s">
        <v>190</v>
      </c>
      <c r="C187" s="23" t="s">
        <v>191</v>
      </c>
      <c r="D187" s="23" t="s">
        <v>86</v>
      </c>
      <c r="E187" s="23">
        <v>39.0</v>
      </c>
      <c r="F187" s="23" t="s">
        <v>620</v>
      </c>
      <c r="G187" s="23" t="s">
        <v>518</v>
      </c>
      <c r="H187" s="46"/>
      <c r="I187" s="46"/>
      <c r="J187" s="46"/>
      <c r="K187" s="46"/>
      <c r="L187" s="35"/>
      <c r="M187" s="35"/>
      <c r="N187" s="35"/>
      <c r="O187" s="35"/>
      <c r="P187" s="35"/>
      <c r="Q187" s="35"/>
      <c r="R187" s="35"/>
      <c r="S187" s="35"/>
      <c r="T187" s="35"/>
      <c r="U187" s="35"/>
      <c r="V187" s="35"/>
      <c r="W187" s="35"/>
      <c r="X187" s="35"/>
      <c r="Y187" s="35"/>
      <c r="Z187" s="35"/>
      <c r="AA187" s="35"/>
      <c r="AB187" s="35"/>
      <c r="AC187" s="35"/>
      <c r="AD187" s="35"/>
      <c r="AE187" s="35"/>
    </row>
    <row r="188">
      <c r="A188" s="23" t="s">
        <v>621</v>
      </c>
      <c r="B188" s="23" t="s">
        <v>190</v>
      </c>
      <c r="C188" s="23" t="s">
        <v>191</v>
      </c>
      <c r="D188" s="23" t="s">
        <v>87</v>
      </c>
      <c r="E188" s="23">
        <v>39.0</v>
      </c>
      <c r="F188" s="23" t="s">
        <v>622</v>
      </c>
      <c r="G188" s="23" t="s">
        <v>518</v>
      </c>
      <c r="H188" s="46"/>
      <c r="I188" s="46"/>
      <c r="J188" s="46"/>
      <c r="K188" s="46"/>
      <c r="L188" s="35"/>
      <c r="M188" s="35"/>
      <c r="N188" s="35"/>
      <c r="O188" s="35"/>
      <c r="P188" s="35"/>
      <c r="Q188" s="35"/>
      <c r="R188" s="35"/>
      <c r="S188" s="35"/>
      <c r="T188" s="35"/>
      <c r="U188" s="35"/>
      <c r="V188" s="35"/>
      <c r="W188" s="35"/>
      <c r="X188" s="35"/>
      <c r="Y188" s="35"/>
      <c r="Z188" s="35"/>
      <c r="AA188" s="35"/>
      <c r="AB188" s="35"/>
      <c r="AC188" s="35"/>
      <c r="AD188" s="35"/>
      <c r="AE188" s="35"/>
    </row>
    <row r="189">
      <c r="A189" s="23" t="s">
        <v>623</v>
      </c>
      <c r="B189" s="23" t="s">
        <v>190</v>
      </c>
      <c r="C189" s="23" t="s">
        <v>191</v>
      </c>
      <c r="D189" s="23" t="s">
        <v>88</v>
      </c>
      <c r="E189" s="23">
        <v>39.0</v>
      </c>
      <c r="F189" s="23" t="s">
        <v>624</v>
      </c>
      <c r="G189" s="23" t="s">
        <v>518</v>
      </c>
      <c r="H189" s="46"/>
      <c r="I189" s="46"/>
      <c r="J189" s="46"/>
      <c r="K189" s="46"/>
      <c r="L189" s="35"/>
      <c r="M189" s="35"/>
      <c r="N189" s="35"/>
      <c r="O189" s="35"/>
      <c r="P189" s="35"/>
      <c r="Q189" s="35"/>
      <c r="R189" s="35"/>
      <c r="S189" s="35"/>
      <c r="T189" s="35"/>
      <c r="U189" s="35"/>
      <c r="V189" s="35"/>
      <c r="W189" s="35"/>
      <c r="X189" s="35"/>
      <c r="Y189" s="35"/>
      <c r="Z189" s="35"/>
      <c r="AA189" s="35"/>
      <c r="AB189" s="35"/>
      <c r="AC189" s="35"/>
      <c r="AD189" s="35"/>
      <c r="AE189" s="35"/>
    </row>
    <row r="190">
      <c r="A190" s="23" t="s">
        <v>625</v>
      </c>
      <c r="B190" s="23" t="s">
        <v>190</v>
      </c>
      <c r="C190" s="23" t="s">
        <v>191</v>
      </c>
      <c r="D190" s="23" t="s">
        <v>89</v>
      </c>
      <c r="E190" s="23">
        <v>39.0</v>
      </c>
      <c r="F190" s="23" t="s">
        <v>626</v>
      </c>
      <c r="G190" s="23" t="s">
        <v>518</v>
      </c>
      <c r="H190" s="46"/>
      <c r="I190" s="46"/>
      <c r="J190" s="46"/>
      <c r="K190" s="46"/>
      <c r="L190" s="35"/>
      <c r="M190" s="35"/>
      <c r="N190" s="35"/>
      <c r="O190" s="35"/>
      <c r="P190" s="35"/>
      <c r="Q190" s="35"/>
      <c r="R190" s="35"/>
      <c r="S190" s="35"/>
      <c r="T190" s="35"/>
      <c r="U190" s="35"/>
      <c r="V190" s="35"/>
      <c r="W190" s="35"/>
      <c r="X190" s="35"/>
      <c r="Y190" s="35"/>
      <c r="Z190" s="35"/>
      <c r="AA190" s="35"/>
      <c r="AB190" s="35"/>
      <c r="AC190" s="35"/>
      <c r="AD190" s="35"/>
      <c r="AE190" s="35"/>
    </row>
    <row r="191">
      <c r="A191" s="23" t="s">
        <v>627</v>
      </c>
      <c r="B191" s="23" t="s">
        <v>238</v>
      </c>
      <c r="C191" s="23" t="s">
        <v>239</v>
      </c>
      <c r="D191" s="23" t="s">
        <v>171</v>
      </c>
      <c r="E191" s="23">
        <v>29.0</v>
      </c>
      <c r="F191" s="23" t="s">
        <v>628</v>
      </c>
      <c r="G191" s="46"/>
      <c r="H191" s="46"/>
      <c r="I191" s="46"/>
      <c r="J191" s="46"/>
      <c r="K191" s="46"/>
      <c r="L191" s="35"/>
      <c r="M191" s="35"/>
      <c r="N191" s="35"/>
      <c r="O191" s="35"/>
      <c r="P191" s="35"/>
      <c r="Q191" s="35"/>
      <c r="R191" s="35"/>
      <c r="S191" s="35"/>
      <c r="T191" s="35"/>
      <c r="U191" s="35"/>
      <c r="V191" s="35"/>
      <c r="W191" s="35"/>
      <c r="X191" s="35"/>
      <c r="Y191" s="35"/>
      <c r="Z191" s="35"/>
      <c r="AA191" s="35"/>
      <c r="AB191" s="35"/>
      <c r="AC191" s="35"/>
      <c r="AD191" s="35"/>
      <c r="AE191" s="35"/>
    </row>
    <row r="192">
      <c r="A192" s="7" t="s">
        <v>629</v>
      </c>
      <c r="B192" s="7" t="s">
        <v>190</v>
      </c>
      <c r="C192" s="7" t="s">
        <v>191</v>
      </c>
      <c r="D192" s="7" t="s">
        <v>63</v>
      </c>
      <c r="E192" s="23">
        <v>34.0</v>
      </c>
      <c r="F192" s="49" t="s">
        <v>630</v>
      </c>
      <c r="G192" s="44"/>
      <c r="H192" s="44"/>
      <c r="I192" s="44"/>
      <c r="J192" s="44"/>
      <c r="K192" s="44"/>
      <c r="L192" s="29"/>
      <c r="M192" s="29"/>
      <c r="N192" s="29"/>
      <c r="O192" s="29"/>
      <c r="P192" s="29"/>
      <c r="Q192" s="29"/>
      <c r="R192" s="29"/>
      <c r="S192" s="29"/>
      <c r="T192" s="29"/>
      <c r="U192" s="29"/>
      <c r="V192" s="29"/>
      <c r="W192" s="29"/>
      <c r="X192" s="29"/>
      <c r="Y192" s="29"/>
      <c r="Z192" s="29"/>
      <c r="AA192" s="29"/>
      <c r="AB192" s="29"/>
      <c r="AC192" s="29"/>
      <c r="AD192" s="29"/>
      <c r="AE192" s="29"/>
    </row>
    <row r="193">
      <c r="A193" s="7" t="s">
        <v>629</v>
      </c>
      <c r="B193" s="7" t="s">
        <v>190</v>
      </c>
      <c r="C193" s="7" t="s">
        <v>191</v>
      </c>
      <c r="D193" s="7" t="s">
        <v>89</v>
      </c>
      <c r="E193" s="23">
        <v>34.0</v>
      </c>
      <c r="F193" s="49" t="s">
        <v>630</v>
      </c>
      <c r="G193" s="44"/>
      <c r="H193" s="44"/>
      <c r="I193" s="44"/>
      <c r="J193" s="44"/>
      <c r="K193" s="44"/>
      <c r="L193" s="29"/>
      <c r="M193" s="29"/>
      <c r="N193" s="29"/>
      <c r="O193" s="29"/>
      <c r="P193" s="29"/>
      <c r="Q193" s="29"/>
      <c r="R193" s="29"/>
      <c r="S193" s="29"/>
      <c r="T193" s="29"/>
      <c r="U193" s="29"/>
      <c r="V193" s="29"/>
      <c r="W193" s="29"/>
      <c r="X193" s="29"/>
      <c r="Y193" s="29"/>
      <c r="Z193" s="29"/>
      <c r="AA193" s="29"/>
      <c r="AB193" s="29"/>
      <c r="AC193" s="29"/>
      <c r="AD193" s="29"/>
      <c r="AE193" s="29"/>
    </row>
    <row r="194">
      <c r="A194" s="7" t="s">
        <v>631</v>
      </c>
      <c r="B194" s="7" t="s">
        <v>190</v>
      </c>
      <c r="C194" s="7" t="s">
        <v>191</v>
      </c>
      <c r="D194" s="7" t="s">
        <v>26</v>
      </c>
      <c r="E194" s="23">
        <v>34.0</v>
      </c>
      <c r="F194" s="7" t="s">
        <v>632</v>
      </c>
      <c r="G194" s="44"/>
      <c r="H194" s="44"/>
      <c r="I194" s="44"/>
      <c r="J194" s="44"/>
      <c r="K194" s="44"/>
      <c r="L194" s="29"/>
      <c r="M194" s="29"/>
      <c r="N194" s="29"/>
      <c r="O194" s="29"/>
      <c r="P194" s="29"/>
      <c r="Q194" s="29"/>
      <c r="R194" s="29"/>
      <c r="S194" s="29"/>
      <c r="T194" s="29"/>
      <c r="U194" s="29"/>
      <c r="V194" s="29"/>
      <c r="W194" s="29"/>
      <c r="X194" s="29"/>
      <c r="Y194" s="29"/>
      <c r="Z194" s="29"/>
      <c r="AA194" s="29"/>
      <c r="AB194" s="29"/>
      <c r="AC194" s="29"/>
      <c r="AD194" s="29"/>
      <c r="AE194" s="29"/>
    </row>
    <row r="195">
      <c r="A195" s="23" t="s">
        <v>633</v>
      </c>
      <c r="B195" s="23" t="s">
        <v>190</v>
      </c>
      <c r="C195" s="23" t="s">
        <v>191</v>
      </c>
      <c r="D195" s="23" t="s">
        <v>77</v>
      </c>
      <c r="E195" s="23">
        <v>30.0</v>
      </c>
      <c r="F195" s="23" t="s">
        <v>634</v>
      </c>
      <c r="G195" s="46"/>
      <c r="H195" s="46"/>
      <c r="I195" s="46"/>
      <c r="J195" s="46"/>
      <c r="K195" s="46"/>
      <c r="L195" s="35"/>
      <c r="M195" s="35"/>
      <c r="N195" s="35"/>
      <c r="O195" s="35"/>
      <c r="P195" s="35"/>
      <c r="Q195" s="35"/>
      <c r="R195" s="35"/>
      <c r="S195" s="35"/>
      <c r="T195" s="35"/>
      <c r="U195" s="35"/>
      <c r="V195" s="35"/>
      <c r="W195" s="35"/>
      <c r="X195" s="35"/>
      <c r="Y195" s="35"/>
      <c r="Z195" s="35"/>
      <c r="AA195" s="35"/>
      <c r="AB195" s="35"/>
      <c r="AC195" s="35"/>
      <c r="AD195" s="35"/>
      <c r="AE195" s="35"/>
    </row>
    <row r="196">
      <c r="A196" s="23" t="s">
        <v>635</v>
      </c>
      <c r="B196" s="23" t="s">
        <v>190</v>
      </c>
      <c r="C196" s="23" t="s">
        <v>191</v>
      </c>
      <c r="D196" s="23" t="s">
        <v>42</v>
      </c>
      <c r="E196" s="23">
        <v>38.0</v>
      </c>
      <c r="F196" s="23" t="s">
        <v>636</v>
      </c>
      <c r="G196" s="46"/>
      <c r="H196" s="46"/>
      <c r="I196" s="46"/>
      <c r="J196" s="46"/>
      <c r="K196" s="46"/>
      <c r="L196" s="35"/>
      <c r="M196" s="35"/>
      <c r="N196" s="35"/>
      <c r="O196" s="35"/>
      <c r="P196" s="35"/>
      <c r="Q196" s="35"/>
      <c r="R196" s="35"/>
      <c r="S196" s="35"/>
      <c r="T196" s="35"/>
      <c r="U196" s="35"/>
      <c r="V196" s="35"/>
      <c r="W196" s="35"/>
      <c r="X196" s="35"/>
      <c r="Y196" s="35"/>
      <c r="Z196" s="35"/>
      <c r="AA196" s="35"/>
      <c r="AB196" s="35"/>
      <c r="AC196" s="35"/>
      <c r="AD196" s="35"/>
      <c r="AE196" s="35"/>
    </row>
    <row r="197">
      <c r="A197" s="23" t="s">
        <v>637</v>
      </c>
      <c r="B197" s="23" t="s">
        <v>190</v>
      </c>
      <c r="C197" s="23" t="s">
        <v>191</v>
      </c>
      <c r="D197" s="23" t="s">
        <v>32</v>
      </c>
      <c r="E197" s="23">
        <v>38.0</v>
      </c>
      <c r="F197" s="23" t="s">
        <v>638</v>
      </c>
      <c r="G197" s="46"/>
      <c r="H197" s="46"/>
      <c r="I197" s="46"/>
      <c r="J197" s="46"/>
      <c r="K197" s="46"/>
      <c r="L197" s="35"/>
      <c r="M197" s="35"/>
      <c r="N197" s="35"/>
      <c r="O197" s="35"/>
      <c r="P197" s="35"/>
      <c r="Q197" s="35"/>
      <c r="R197" s="35"/>
      <c r="S197" s="35"/>
      <c r="T197" s="35"/>
      <c r="U197" s="35"/>
      <c r="V197" s="35"/>
      <c r="W197" s="35"/>
      <c r="X197" s="35"/>
      <c r="Y197" s="35"/>
      <c r="Z197" s="35"/>
      <c r="AA197" s="35"/>
      <c r="AB197" s="35"/>
      <c r="AC197" s="35"/>
      <c r="AD197" s="35"/>
      <c r="AE197" s="35"/>
    </row>
    <row r="198">
      <c r="A198" s="23" t="s">
        <v>639</v>
      </c>
      <c r="B198" s="23" t="s">
        <v>190</v>
      </c>
      <c r="C198" s="23" t="s">
        <v>191</v>
      </c>
      <c r="D198" s="23" t="s">
        <v>16</v>
      </c>
      <c r="E198" s="23">
        <v>38.0</v>
      </c>
      <c r="F198" s="23" t="s">
        <v>640</v>
      </c>
      <c r="G198" s="46"/>
      <c r="H198" s="46"/>
      <c r="I198" s="46"/>
      <c r="J198" s="46"/>
      <c r="K198" s="46"/>
      <c r="L198" s="35"/>
      <c r="M198" s="35"/>
      <c r="N198" s="35"/>
      <c r="O198" s="35"/>
      <c r="P198" s="35"/>
      <c r="Q198" s="35"/>
      <c r="R198" s="35"/>
      <c r="S198" s="35"/>
      <c r="T198" s="35"/>
      <c r="U198" s="35"/>
      <c r="V198" s="35"/>
      <c r="W198" s="35"/>
      <c r="X198" s="35"/>
      <c r="Y198" s="35"/>
      <c r="Z198" s="35"/>
      <c r="AA198" s="35"/>
      <c r="AB198" s="35"/>
      <c r="AC198" s="35"/>
      <c r="AD198" s="35"/>
      <c r="AE198" s="35"/>
    </row>
    <row r="199">
      <c r="A199" s="23" t="s">
        <v>641</v>
      </c>
      <c r="B199" s="23" t="s">
        <v>190</v>
      </c>
      <c r="C199" s="23" t="s">
        <v>191</v>
      </c>
      <c r="D199" s="23" t="s">
        <v>52</v>
      </c>
      <c r="E199" s="23">
        <v>38.0</v>
      </c>
      <c r="F199" s="23" t="s">
        <v>642</v>
      </c>
      <c r="G199" s="46"/>
      <c r="H199" s="46"/>
      <c r="I199" s="46"/>
      <c r="J199" s="46"/>
      <c r="K199" s="46"/>
      <c r="L199" s="35"/>
      <c r="M199" s="35"/>
      <c r="N199" s="35"/>
      <c r="O199" s="35"/>
      <c r="P199" s="35"/>
      <c r="Q199" s="35"/>
      <c r="R199" s="35"/>
      <c r="S199" s="35"/>
      <c r="T199" s="35"/>
      <c r="U199" s="35"/>
      <c r="V199" s="35"/>
      <c r="W199" s="35"/>
      <c r="X199" s="35"/>
      <c r="Y199" s="35"/>
      <c r="Z199" s="35"/>
      <c r="AA199" s="35"/>
      <c r="AB199" s="35"/>
      <c r="AC199" s="35"/>
      <c r="AD199" s="35"/>
      <c r="AE199" s="35"/>
    </row>
    <row r="200">
      <c r="A200" s="23" t="s">
        <v>643</v>
      </c>
      <c r="B200" s="23" t="s">
        <v>190</v>
      </c>
      <c r="C200" s="23" t="s">
        <v>191</v>
      </c>
      <c r="D200" s="23" t="s">
        <v>60</v>
      </c>
      <c r="E200" s="23">
        <v>38.0</v>
      </c>
      <c r="F200" s="23" t="s">
        <v>644</v>
      </c>
      <c r="G200" s="46"/>
      <c r="H200" s="46"/>
      <c r="I200" s="46"/>
      <c r="J200" s="46"/>
      <c r="K200" s="46"/>
      <c r="L200" s="35"/>
      <c r="M200" s="35"/>
      <c r="N200" s="35"/>
      <c r="O200" s="35"/>
      <c r="P200" s="35"/>
      <c r="Q200" s="35"/>
      <c r="R200" s="35"/>
      <c r="S200" s="35"/>
      <c r="T200" s="35"/>
      <c r="U200" s="35"/>
      <c r="V200" s="35"/>
      <c r="W200" s="35"/>
      <c r="X200" s="35"/>
      <c r="Y200" s="35"/>
      <c r="Z200" s="35"/>
      <c r="AA200" s="35"/>
      <c r="AB200" s="35"/>
      <c r="AC200" s="35"/>
      <c r="AD200" s="35"/>
      <c r="AE200" s="35"/>
    </row>
    <row r="201">
      <c r="A201" s="23" t="s">
        <v>645</v>
      </c>
      <c r="B201" s="23" t="s">
        <v>190</v>
      </c>
      <c r="C201" s="23" t="s">
        <v>191</v>
      </c>
      <c r="D201" s="23" t="s">
        <v>59</v>
      </c>
      <c r="E201" s="23">
        <v>38.0</v>
      </c>
      <c r="F201" s="23" t="s">
        <v>646</v>
      </c>
      <c r="G201" s="46"/>
      <c r="H201" s="46"/>
      <c r="I201" s="46"/>
      <c r="J201" s="46"/>
      <c r="K201" s="46"/>
      <c r="L201" s="35"/>
      <c r="M201" s="35"/>
      <c r="N201" s="35"/>
      <c r="O201" s="35"/>
      <c r="P201" s="35"/>
      <c r="Q201" s="35"/>
      <c r="R201" s="35"/>
      <c r="S201" s="35"/>
      <c r="T201" s="35"/>
      <c r="U201" s="35"/>
      <c r="V201" s="35"/>
      <c r="W201" s="35"/>
      <c r="X201" s="35"/>
      <c r="Y201" s="35"/>
      <c r="Z201" s="35"/>
      <c r="AA201" s="35"/>
      <c r="AB201" s="35"/>
      <c r="AC201" s="35"/>
      <c r="AD201" s="35"/>
      <c r="AE201" s="35"/>
    </row>
    <row r="202">
      <c r="A202" s="23" t="s">
        <v>647</v>
      </c>
      <c r="B202" s="23" t="s">
        <v>190</v>
      </c>
      <c r="C202" s="23" t="s">
        <v>191</v>
      </c>
      <c r="D202" s="23" t="s">
        <v>55</v>
      </c>
      <c r="E202" s="23">
        <v>38.0</v>
      </c>
      <c r="F202" s="23" t="s">
        <v>648</v>
      </c>
      <c r="G202" s="46"/>
      <c r="H202" s="46"/>
      <c r="I202" s="46"/>
      <c r="J202" s="46"/>
      <c r="K202" s="46"/>
      <c r="L202" s="35"/>
      <c r="M202" s="35"/>
      <c r="N202" s="35"/>
      <c r="O202" s="35"/>
      <c r="P202" s="35"/>
      <c r="Q202" s="35"/>
      <c r="R202" s="35"/>
      <c r="S202" s="35"/>
      <c r="T202" s="35"/>
      <c r="U202" s="35"/>
      <c r="V202" s="35"/>
      <c r="W202" s="35"/>
      <c r="X202" s="35"/>
      <c r="Y202" s="35"/>
      <c r="Z202" s="35"/>
      <c r="AA202" s="35"/>
      <c r="AB202" s="35"/>
      <c r="AC202" s="35"/>
      <c r="AD202" s="35"/>
      <c r="AE202" s="35"/>
    </row>
    <row r="203">
      <c r="A203" s="23" t="s">
        <v>649</v>
      </c>
      <c r="B203" s="23" t="s">
        <v>190</v>
      </c>
      <c r="C203" s="23" t="s">
        <v>191</v>
      </c>
      <c r="D203" s="23" t="s">
        <v>89</v>
      </c>
      <c r="E203" s="23">
        <v>31.0</v>
      </c>
      <c r="F203" s="23" t="s">
        <v>650</v>
      </c>
      <c r="G203" s="46"/>
      <c r="H203" s="46"/>
      <c r="I203" s="46"/>
      <c r="J203" s="46"/>
      <c r="K203" s="46"/>
      <c r="L203" s="35"/>
      <c r="M203" s="35"/>
      <c r="N203" s="35"/>
      <c r="O203" s="35"/>
      <c r="P203" s="35"/>
      <c r="Q203" s="35"/>
      <c r="R203" s="35"/>
      <c r="S203" s="35"/>
      <c r="T203" s="35"/>
      <c r="U203" s="35"/>
      <c r="V203" s="35"/>
      <c r="W203" s="35"/>
      <c r="X203" s="35"/>
      <c r="Y203" s="35"/>
      <c r="Z203" s="35"/>
      <c r="AA203" s="35"/>
      <c r="AB203" s="35"/>
      <c r="AC203" s="35"/>
      <c r="AD203" s="35"/>
      <c r="AE203" s="35"/>
    </row>
    <row r="204">
      <c r="A204" s="7" t="s">
        <v>651</v>
      </c>
      <c r="B204" s="7" t="s">
        <v>190</v>
      </c>
      <c r="C204" s="7" t="s">
        <v>191</v>
      </c>
      <c r="D204" s="7" t="s">
        <v>89</v>
      </c>
      <c r="E204" s="23">
        <v>30.0</v>
      </c>
      <c r="F204" s="7" t="s">
        <v>652</v>
      </c>
      <c r="G204" s="44"/>
      <c r="H204" s="44"/>
      <c r="I204" s="44"/>
      <c r="J204" s="44"/>
      <c r="K204" s="44"/>
      <c r="L204" s="29"/>
      <c r="M204" s="29"/>
      <c r="N204" s="29"/>
      <c r="O204" s="29"/>
      <c r="P204" s="29"/>
      <c r="Q204" s="29"/>
      <c r="R204" s="29"/>
      <c r="S204" s="29"/>
      <c r="T204" s="29"/>
      <c r="U204" s="29"/>
      <c r="V204" s="29"/>
      <c r="W204" s="29"/>
      <c r="X204" s="29"/>
      <c r="Y204" s="29"/>
      <c r="Z204" s="29"/>
      <c r="AA204" s="29"/>
      <c r="AB204" s="29"/>
      <c r="AC204" s="29"/>
      <c r="AD204" s="29"/>
      <c r="AE204" s="29"/>
    </row>
    <row r="205">
      <c r="A205" s="7" t="s">
        <v>653</v>
      </c>
      <c r="B205" s="7" t="s">
        <v>190</v>
      </c>
      <c r="C205" s="7" t="s">
        <v>191</v>
      </c>
      <c r="D205" s="7" t="s">
        <v>89</v>
      </c>
      <c r="E205" s="23">
        <v>37.0</v>
      </c>
      <c r="F205" s="7" t="s">
        <v>654</v>
      </c>
      <c r="G205" s="7" t="s">
        <v>655</v>
      </c>
      <c r="H205" s="44"/>
      <c r="I205" s="44"/>
      <c r="J205" s="44"/>
      <c r="K205" s="44"/>
      <c r="L205" s="29"/>
      <c r="M205" s="29"/>
      <c r="N205" s="29"/>
      <c r="O205" s="29"/>
      <c r="P205" s="29"/>
      <c r="Q205" s="29"/>
      <c r="R205" s="29"/>
      <c r="S205" s="29"/>
      <c r="T205" s="29"/>
      <c r="U205" s="29"/>
      <c r="V205" s="29"/>
      <c r="W205" s="29"/>
      <c r="X205" s="29"/>
      <c r="Y205" s="29"/>
      <c r="Z205" s="29"/>
      <c r="AA205" s="29"/>
      <c r="AB205" s="29"/>
      <c r="AC205" s="29"/>
      <c r="AD205" s="29"/>
      <c r="AE205" s="29"/>
    </row>
    <row r="206">
      <c r="A206" s="7" t="s">
        <v>656</v>
      </c>
      <c r="B206" s="7" t="s">
        <v>190</v>
      </c>
      <c r="C206" s="7" t="s">
        <v>191</v>
      </c>
      <c r="D206" s="7" t="s">
        <v>71</v>
      </c>
      <c r="E206" s="23">
        <v>37.0</v>
      </c>
      <c r="F206" s="7" t="s">
        <v>657</v>
      </c>
      <c r="G206" s="44"/>
      <c r="H206" s="44"/>
      <c r="I206" s="44"/>
      <c r="J206" s="44"/>
      <c r="K206" s="44"/>
      <c r="L206" s="29"/>
      <c r="M206" s="29"/>
      <c r="N206" s="29"/>
      <c r="O206" s="29"/>
      <c r="P206" s="29"/>
      <c r="Q206" s="29"/>
      <c r="R206" s="29"/>
      <c r="S206" s="29"/>
      <c r="T206" s="29"/>
      <c r="U206" s="29"/>
      <c r="V206" s="29"/>
      <c r="W206" s="29"/>
      <c r="X206" s="29"/>
      <c r="Y206" s="29"/>
      <c r="Z206" s="29"/>
      <c r="AA206" s="29"/>
      <c r="AB206" s="29"/>
      <c r="AC206" s="29"/>
      <c r="AD206" s="29"/>
      <c r="AE206" s="29"/>
    </row>
    <row r="207">
      <c r="A207" s="7" t="s">
        <v>658</v>
      </c>
      <c r="B207" s="7" t="s">
        <v>190</v>
      </c>
      <c r="C207" s="7" t="s">
        <v>191</v>
      </c>
      <c r="D207" s="7" t="s">
        <v>25</v>
      </c>
      <c r="E207" s="23">
        <v>35.0</v>
      </c>
      <c r="F207" s="7" t="s">
        <v>659</v>
      </c>
      <c r="G207" s="7" t="s">
        <v>660</v>
      </c>
      <c r="H207" s="44"/>
      <c r="I207" s="44"/>
      <c r="J207" s="44"/>
      <c r="K207" s="44"/>
      <c r="L207" s="29"/>
      <c r="M207" s="29"/>
      <c r="N207" s="29"/>
      <c r="O207" s="29"/>
      <c r="P207" s="29"/>
      <c r="Q207" s="29"/>
      <c r="R207" s="29"/>
      <c r="S207" s="29"/>
      <c r="T207" s="29"/>
      <c r="U207" s="29"/>
      <c r="V207" s="29"/>
      <c r="W207" s="29"/>
      <c r="X207" s="29"/>
      <c r="Y207" s="29"/>
      <c r="Z207" s="29"/>
      <c r="AA207" s="29"/>
      <c r="AB207" s="29"/>
      <c r="AC207" s="29"/>
      <c r="AD207" s="29"/>
      <c r="AE207" s="29"/>
    </row>
    <row r="208">
      <c r="A208" s="7" t="s">
        <v>661</v>
      </c>
      <c r="B208" s="7" t="s">
        <v>190</v>
      </c>
      <c r="C208" s="7" t="s">
        <v>191</v>
      </c>
      <c r="D208" s="7" t="s">
        <v>25</v>
      </c>
      <c r="E208" s="23">
        <v>36.0</v>
      </c>
      <c r="F208" s="7" t="s">
        <v>662</v>
      </c>
      <c r="G208" s="7" t="s">
        <v>660</v>
      </c>
      <c r="H208" s="44"/>
      <c r="I208" s="44"/>
      <c r="J208" s="44"/>
      <c r="K208" s="44"/>
      <c r="L208" s="29"/>
      <c r="M208" s="29"/>
      <c r="N208" s="29"/>
      <c r="O208" s="29"/>
      <c r="P208" s="29"/>
      <c r="Q208" s="29"/>
      <c r="R208" s="29"/>
      <c r="S208" s="29"/>
      <c r="T208" s="29"/>
      <c r="U208" s="29"/>
      <c r="V208" s="29"/>
      <c r="W208" s="29"/>
      <c r="X208" s="29"/>
      <c r="Y208" s="29"/>
      <c r="Z208" s="29"/>
      <c r="AA208" s="29"/>
      <c r="AB208" s="29"/>
      <c r="AC208" s="29"/>
      <c r="AD208" s="29"/>
      <c r="AE208" s="29"/>
    </row>
    <row r="209">
      <c r="A209" s="7" t="s">
        <v>663</v>
      </c>
      <c r="B209" s="7" t="s">
        <v>190</v>
      </c>
      <c r="C209" s="7" t="s">
        <v>191</v>
      </c>
      <c r="D209" s="7" t="s">
        <v>25</v>
      </c>
      <c r="E209" s="23">
        <v>37.0</v>
      </c>
      <c r="F209" s="7" t="s">
        <v>664</v>
      </c>
      <c r="G209" s="7" t="s">
        <v>660</v>
      </c>
      <c r="H209" s="44"/>
      <c r="I209" s="44"/>
      <c r="J209" s="44"/>
      <c r="K209" s="44"/>
      <c r="L209" s="29"/>
      <c r="M209" s="29"/>
      <c r="N209" s="29"/>
      <c r="O209" s="29"/>
      <c r="P209" s="29"/>
      <c r="Q209" s="29"/>
      <c r="R209" s="29"/>
      <c r="S209" s="29"/>
      <c r="T209" s="29"/>
      <c r="U209" s="29"/>
      <c r="V209" s="29"/>
      <c r="W209" s="29"/>
      <c r="X209" s="29"/>
      <c r="Y209" s="29"/>
      <c r="Z209" s="29"/>
      <c r="AA209" s="29"/>
      <c r="AB209" s="29"/>
      <c r="AC209" s="29"/>
      <c r="AD209" s="29"/>
      <c r="AE209" s="29"/>
    </row>
    <row r="210">
      <c r="A210" s="7" t="s">
        <v>665</v>
      </c>
      <c r="B210" s="23" t="s">
        <v>238</v>
      </c>
      <c r="C210" s="7" t="s">
        <v>191</v>
      </c>
      <c r="D210" s="7" t="s">
        <v>174</v>
      </c>
      <c r="E210" s="23">
        <v>23.0</v>
      </c>
      <c r="F210" s="7" t="s">
        <v>666</v>
      </c>
      <c r="G210" s="44"/>
      <c r="H210" s="44"/>
      <c r="I210" s="44"/>
      <c r="J210" s="44"/>
      <c r="K210" s="44"/>
      <c r="L210" s="29"/>
      <c r="M210" s="29"/>
      <c r="N210" s="29"/>
      <c r="O210" s="29"/>
      <c r="P210" s="29"/>
      <c r="Q210" s="29"/>
      <c r="R210" s="29"/>
      <c r="S210" s="29"/>
      <c r="T210" s="29"/>
      <c r="U210" s="29"/>
      <c r="V210" s="29"/>
      <c r="W210" s="29"/>
      <c r="X210" s="29"/>
      <c r="Y210" s="29"/>
      <c r="Z210" s="29"/>
      <c r="AA210" s="29"/>
      <c r="AB210" s="29"/>
      <c r="AC210" s="29"/>
      <c r="AD210" s="29"/>
      <c r="AE210" s="29"/>
    </row>
    <row r="211">
      <c r="A211" s="7" t="s">
        <v>667</v>
      </c>
      <c r="B211" s="7" t="s">
        <v>190</v>
      </c>
      <c r="C211" s="7" t="s">
        <v>191</v>
      </c>
      <c r="D211" s="7" t="s">
        <v>28</v>
      </c>
      <c r="E211" s="23">
        <v>38.0</v>
      </c>
      <c r="F211" s="7" t="s">
        <v>668</v>
      </c>
      <c r="G211" s="44"/>
      <c r="H211" s="44"/>
      <c r="I211" s="44"/>
      <c r="J211" s="29"/>
      <c r="K211" s="29"/>
      <c r="L211" s="29"/>
      <c r="M211" s="29"/>
      <c r="N211" s="29"/>
      <c r="O211" s="29"/>
      <c r="P211" s="29"/>
      <c r="Q211" s="29"/>
      <c r="R211" s="29"/>
      <c r="S211" s="29"/>
      <c r="T211" s="29"/>
      <c r="U211" s="29"/>
      <c r="V211" s="29"/>
      <c r="W211" s="29"/>
      <c r="X211" s="29"/>
      <c r="Y211" s="29"/>
      <c r="Z211" s="29"/>
      <c r="AA211" s="29"/>
      <c r="AB211" s="29"/>
      <c r="AC211" s="29"/>
      <c r="AD211" s="29"/>
      <c r="AE211" s="29"/>
    </row>
    <row r="212">
      <c r="A212" s="23" t="s">
        <v>669</v>
      </c>
      <c r="B212" s="23" t="s">
        <v>238</v>
      </c>
      <c r="C212" s="23" t="s">
        <v>239</v>
      </c>
      <c r="D212" s="23" t="s">
        <v>176</v>
      </c>
      <c r="E212" s="23">
        <v>29.0</v>
      </c>
      <c r="F212" s="23" t="s">
        <v>670</v>
      </c>
      <c r="G212" s="46"/>
      <c r="H212" s="46"/>
      <c r="I212" s="46"/>
      <c r="J212" s="46"/>
      <c r="K212" s="46"/>
      <c r="L212" s="35"/>
      <c r="M212" s="35"/>
      <c r="N212" s="35"/>
      <c r="O212" s="35"/>
      <c r="P212" s="35"/>
      <c r="Q212" s="35"/>
      <c r="R212" s="35"/>
      <c r="S212" s="35"/>
      <c r="T212" s="35"/>
      <c r="U212" s="35"/>
      <c r="V212" s="35"/>
      <c r="W212" s="35"/>
      <c r="X212" s="35"/>
      <c r="Y212" s="35"/>
      <c r="Z212" s="35"/>
      <c r="AA212" s="35"/>
      <c r="AB212" s="35"/>
      <c r="AC212" s="35"/>
      <c r="AD212" s="35"/>
      <c r="AE212" s="35"/>
    </row>
    <row r="213">
      <c r="A213" s="23" t="s">
        <v>671</v>
      </c>
      <c r="B213" s="23" t="s">
        <v>238</v>
      </c>
      <c r="C213" s="23" t="s">
        <v>191</v>
      </c>
      <c r="D213" s="23" t="s">
        <v>144</v>
      </c>
      <c r="E213" s="23">
        <v>29.0</v>
      </c>
      <c r="F213" s="23" t="s">
        <v>672</v>
      </c>
      <c r="G213" s="46"/>
      <c r="H213" s="46"/>
      <c r="I213" s="46"/>
      <c r="J213" s="46"/>
      <c r="K213" s="46"/>
      <c r="L213" s="29"/>
      <c r="M213" s="29"/>
      <c r="N213" s="29"/>
      <c r="O213" s="29"/>
      <c r="P213" s="29"/>
      <c r="Q213" s="29"/>
      <c r="R213" s="29"/>
      <c r="S213" s="29"/>
      <c r="T213" s="29"/>
      <c r="U213" s="29"/>
      <c r="V213" s="29"/>
      <c r="W213" s="29"/>
      <c r="X213" s="29"/>
      <c r="Y213" s="29"/>
      <c r="Z213" s="29"/>
      <c r="AA213" s="29"/>
      <c r="AB213" s="29"/>
      <c r="AC213" s="29"/>
      <c r="AD213" s="29"/>
      <c r="AE213" s="29"/>
    </row>
    <row r="214">
      <c r="A214" s="23" t="s">
        <v>673</v>
      </c>
      <c r="B214" s="23" t="s">
        <v>238</v>
      </c>
      <c r="C214" s="23" t="s">
        <v>191</v>
      </c>
      <c r="D214" s="23" t="s">
        <v>144</v>
      </c>
      <c r="E214" s="23">
        <v>29.0</v>
      </c>
      <c r="F214" s="23" t="s">
        <v>674</v>
      </c>
      <c r="G214" s="46"/>
      <c r="H214" s="46"/>
      <c r="I214" s="46"/>
      <c r="J214" s="46"/>
      <c r="K214" s="46"/>
      <c r="L214" s="29"/>
      <c r="M214" s="29"/>
      <c r="N214" s="29"/>
      <c r="O214" s="29"/>
      <c r="P214" s="29"/>
      <c r="Q214" s="29"/>
      <c r="R214" s="29"/>
      <c r="S214" s="29"/>
      <c r="T214" s="29"/>
      <c r="U214" s="29"/>
      <c r="V214" s="29"/>
      <c r="W214" s="29"/>
      <c r="X214" s="29"/>
      <c r="Y214" s="29"/>
      <c r="Z214" s="29"/>
      <c r="AA214" s="29"/>
      <c r="AB214" s="29"/>
      <c r="AC214" s="29"/>
      <c r="AD214" s="29"/>
      <c r="AE214" s="29"/>
    </row>
    <row r="215">
      <c r="A215" s="23"/>
      <c r="B215" s="23"/>
      <c r="C215" s="23"/>
      <c r="D215" s="23"/>
      <c r="E215" s="23"/>
      <c r="F215" s="23"/>
      <c r="G215" s="46"/>
      <c r="H215" s="46"/>
      <c r="I215" s="46"/>
      <c r="J215" s="46"/>
      <c r="K215" s="46"/>
      <c r="L215" s="29"/>
      <c r="M215" s="29"/>
      <c r="N215" s="29"/>
      <c r="O215" s="29"/>
      <c r="P215" s="29"/>
      <c r="Q215" s="29"/>
      <c r="R215" s="29"/>
      <c r="S215" s="29"/>
      <c r="T215" s="29"/>
      <c r="U215" s="29"/>
      <c r="V215" s="29"/>
      <c r="W215" s="29"/>
      <c r="X215" s="29"/>
      <c r="Y215" s="29"/>
      <c r="Z215" s="29"/>
      <c r="AA215" s="29"/>
      <c r="AB215" s="29"/>
      <c r="AC215" s="29"/>
      <c r="AD215" s="29"/>
      <c r="AE215" s="29"/>
    </row>
    <row r="216">
      <c r="A216" s="29"/>
      <c r="B216" s="29"/>
      <c r="C216" s="29"/>
      <c r="D216" s="29"/>
      <c r="E216" s="35"/>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row>
    <row r="217">
      <c r="A217" s="29"/>
      <c r="B217" s="29"/>
      <c r="C217" s="29"/>
      <c r="D217" s="29"/>
      <c r="E217" s="35"/>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row>
    <row r="218">
      <c r="A218" s="29"/>
      <c r="B218" s="29"/>
      <c r="C218" s="29"/>
      <c r="D218" s="29"/>
      <c r="E218" s="35"/>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row>
    <row r="219">
      <c r="A219" s="29"/>
      <c r="B219" s="29"/>
      <c r="C219" s="29"/>
      <c r="D219" s="29"/>
      <c r="E219" s="35"/>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row>
    <row r="220">
      <c r="A220" s="29"/>
      <c r="B220" s="29"/>
      <c r="C220" s="29"/>
      <c r="D220" s="29"/>
      <c r="E220" s="35"/>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row>
    <row r="221">
      <c r="A221" s="29"/>
      <c r="B221" s="29"/>
      <c r="C221" s="29"/>
      <c r="D221" s="29"/>
      <c r="E221" s="35"/>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row>
    <row r="222">
      <c r="A222" s="29"/>
      <c r="B222" s="29"/>
      <c r="C222" s="29"/>
      <c r="D222" s="29"/>
      <c r="E222" s="35"/>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row>
    <row r="223">
      <c r="A223" s="29"/>
      <c r="B223" s="29"/>
      <c r="C223" s="29"/>
      <c r="D223" s="29"/>
      <c r="E223" s="35"/>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row>
    <row r="224">
      <c r="A224" s="29"/>
      <c r="B224" s="29"/>
      <c r="C224" s="29"/>
      <c r="D224" s="29"/>
      <c r="E224" s="35"/>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row>
    <row r="225">
      <c r="A225" s="29"/>
      <c r="B225" s="29"/>
      <c r="C225" s="29"/>
      <c r="D225" s="29"/>
      <c r="E225" s="35"/>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row>
    <row r="226">
      <c r="A226" s="29"/>
      <c r="B226" s="29"/>
      <c r="C226" s="29"/>
      <c r="D226" s="29"/>
      <c r="E226" s="35"/>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row>
    <row r="227">
      <c r="A227" s="29"/>
      <c r="B227" s="29"/>
      <c r="C227" s="29"/>
      <c r="D227" s="29"/>
      <c r="E227" s="35"/>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row>
    <row r="228">
      <c r="A228" s="29"/>
      <c r="B228" s="29"/>
      <c r="C228" s="29"/>
      <c r="D228" s="29"/>
      <c r="E228" s="35"/>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row>
    <row r="229">
      <c r="A229" s="29"/>
      <c r="B229" s="29"/>
      <c r="C229" s="29"/>
      <c r="D229" s="29"/>
      <c r="E229" s="35"/>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row>
    <row r="230">
      <c r="A230" s="29"/>
      <c r="B230" s="29"/>
      <c r="C230" s="29"/>
      <c r="D230" s="29"/>
      <c r="E230" s="35"/>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row>
    <row r="231">
      <c r="A231" s="29"/>
      <c r="B231" s="29"/>
      <c r="C231" s="29"/>
      <c r="D231" s="29"/>
      <c r="E231" s="35"/>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row>
    <row r="232">
      <c r="A232" s="29"/>
      <c r="B232" s="29"/>
      <c r="C232" s="29"/>
      <c r="D232" s="29"/>
      <c r="E232" s="35"/>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row>
    <row r="233">
      <c r="A233" s="29"/>
      <c r="B233" s="29"/>
      <c r="C233" s="29"/>
      <c r="D233" s="29"/>
      <c r="E233" s="35"/>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row>
    <row r="234">
      <c r="A234" s="29"/>
      <c r="B234" s="29"/>
      <c r="C234" s="29"/>
      <c r="D234" s="29"/>
      <c r="E234" s="35"/>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row>
    <row r="235">
      <c r="A235" s="29"/>
      <c r="B235" s="29"/>
      <c r="C235" s="29"/>
      <c r="D235" s="29"/>
      <c r="E235" s="35"/>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row>
    <row r="236">
      <c r="A236" s="29"/>
      <c r="B236" s="29"/>
      <c r="C236" s="29"/>
      <c r="D236" s="29"/>
      <c r="E236" s="35"/>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row>
    <row r="237">
      <c r="A237" s="29"/>
      <c r="B237" s="29"/>
      <c r="C237" s="29"/>
      <c r="D237" s="29"/>
      <c r="E237" s="35"/>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row>
    <row r="238">
      <c r="A238" s="29"/>
      <c r="B238" s="29"/>
      <c r="C238" s="29"/>
      <c r="D238" s="29"/>
      <c r="E238" s="35"/>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row>
    <row r="239">
      <c r="A239" s="29"/>
      <c r="B239" s="29"/>
      <c r="C239" s="29"/>
      <c r="D239" s="29"/>
      <c r="E239" s="35"/>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row>
    <row r="240">
      <c r="A240" s="29"/>
      <c r="B240" s="29"/>
      <c r="C240" s="29"/>
      <c r="D240" s="29"/>
      <c r="E240" s="35"/>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row>
    <row r="241">
      <c r="A241" s="29"/>
      <c r="B241" s="29"/>
      <c r="C241" s="29"/>
      <c r="D241" s="29"/>
      <c r="E241" s="35"/>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row>
    <row r="242">
      <c r="A242" s="29"/>
      <c r="B242" s="29"/>
      <c r="C242" s="29"/>
      <c r="D242" s="29"/>
      <c r="E242" s="35"/>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row>
    <row r="243">
      <c r="A243" s="29"/>
      <c r="B243" s="29"/>
      <c r="C243" s="29"/>
      <c r="D243" s="29"/>
      <c r="E243" s="35"/>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row>
    <row r="244">
      <c r="A244" s="29"/>
      <c r="B244" s="29"/>
      <c r="C244" s="29"/>
      <c r="D244" s="29"/>
      <c r="E244" s="35"/>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row>
    <row r="245">
      <c r="A245" s="29"/>
      <c r="B245" s="29"/>
      <c r="C245" s="29"/>
      <c r="D245" s="29"/>
      <c r="E245" s="35"/>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row>
    <row r="246">
      <c r="A246" s="29"/>
      <c r="B246" s="29"/>
      <c r="C246" s="29"/>
      <c r="D246" s="29"/>
      <c r="E246" s="35"/>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row>
    <row r="247">
      <c r="A247" s="29"/>
      <c r="B247" s="29"/>
      <c r="C247" s="29"/>
      <c r="D247" s="29"/>
      <c r="E247" s="35"/>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row>
    <row r="248">
      <c r="A248" s="29"/>
      <c r="B248" s="29"/>
      <c r="C248" s="29"/>
      <c r="D248" s="29"/>
      <c r="E248" s="35"/>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row>
    <row r="249">
      <c r="A249" s="29"/>
      <c r="B249" s="29"/>
      <c r="C249" s="29"/>
      <c r="D249" s="29"/>
      <c r="E249" s="35"/>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row>
    <row r="250">
      <c r="A250" s="29"/>
      <c r="B250" s="29"/>
      <c r="C250" s="29"/>
      <c r="D250" s="29"/>
      <c r="E250" s="35"/>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row>
    <row r="251">
      <c r="A251" s="29"/>
      <c r="B251" s="29"/>
      <c r="C251" s="29"/>
      <c r="D251" s="29"/>
      <c r="E251" s="35"/>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row>
    <row r="252">
      <c r="A252" s="29"/>
      <c r="B252" s="29"/>
      <c r="C252" s="29"/>
      <c r="D252" s="29"/>
      <c r="E252" s="35"/>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row>
    <row r="253">
      <c r="A253" s="29"/>
      <c r="B253" s="29"/>
      <c r="C253" s="29"/>
      <c r="D253" s="29"/>
      <c r="E253" s="35"/>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row>
    <row r="254">
      <c r="A254" s="29"/>
      <c r="B254" s="29"/>
      <c r="C254" s="29"/>
      <c r="D254" s="29"/>
      <c r="E254" s="35"/>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row>
    <row r="255">
      <c r="A255" s="29"/>
      <c r="B255" s="29"/>
      <c r="C255" s="29"/>
      <c r="D255" s="29"/>
      <c r="E255" s="35"/>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row>
    <row r="256">
      <c r="A256" s="29"/>
      <c r="B256" s="29"/>
      <c r="C256" s="29"/>
      <c r="D256" s="29"/>
      <c r="E256" s="35"/>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row>
    <row r="257">
      <c r="A257" s="29"/>
      <c r="B257" s="29"/>
      <c r="C257" s="29"/>
      <c r="D257" s="29"/>
      <c r="E257" s="35"/>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row>
    <row r="258">
      <c r="A258" s="29"/>
      <c r="B258" s="29"/>
      <c r="C258" s="29"/>
      <c r="D258" s="29"/>
      <c r="E258" s="35"/>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row>
    <row r="259">
      <c r="A259" s="29"/>
      <c r="B259" s="29"/>
      <c r="C259" s="29"/>
      <c r="D259" s="29"/>
      <c r="E259" s="35"/>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row>
    <row r="260">
      <c r="A260" s="29"/>
      <c r="B260" s="29"/>
      <c r="C260" s="29"/>
      <c r="D260" s="29"/>
      <c r="E260" s="35"/>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row>
    <row r="261">
      <c r="A261" s="29"/>
      <c r="B261" s="29"/>
      <c r="C261" s="29"/>
      <c r="D261" s="29"/>
      <c r="E261" s="35"/>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row>
    <row r="262">
      <c r="A262" s="29"/>
      <c r="B262" s="29"/>
      <c r="C262" s="29"/>
      <c r="D262" s="29"/>
      <c r="E262" s="35"/>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row>
    <row r="263">
      <c r="A263" s="29"/>
      <c r="B263" s="29"/>
      <c r="C263" s="29"/>
      <c r="D263" s="29"/>
      <c r="E263" s="35"/>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row>
    <row r="264">
      <c r="A264" s="29"/>
      <c r="B264" s="29"/>
      <c r="C264" s="29"/>
      <c r="D264" s="29"/>
      <c r="E264" s="35"/>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row>
    <row r="265">
      <c r="A265" s="29"/>
      <c r="B265" s="29"/>
      <c r="C265" s="29"/>
      <c r="D265" s="29"/>
      <c r="E265" s="35"/>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row>
    <row r="266">
      <c r="A266" s="29"/>
      <c r="B266" s="29"/>
      <c r="C266" s="29"/>
      <c r="D266" s="29"/>
      <c r="E266" s="35"/>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row>
    <row r="267">
      <c r="A267" s="29"/>
      <c r="B267" s="29"/>
      <c r="C267" s="29"/>
      <c r="D267" s="29"/>
      <c r="E267" s="35"/>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row>
    <row r="268">
      <c r="A268" s="29"/>
      <c r="B268" s="29"/>
      <c r="C268" s="29"/>
      <c r="D268" s="29"/>
      <c r="E268" s="35"/>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row>
    <row r="269">
      <c r="A269" s="29"/>
      <c r="B269" s="29"/>
      <c r="C269" s="29"/>
      <c r="D269" s="29"/>
      <c r="E269" s="35"/>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row>
    <row r="270">
      <c r="A270" s="29"/>
      <c r="B270" s="29"/>
      <c r="C270" s="29"/>
      <c r="D270" s="29"/>
      <c r="E270" s="35"/>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row>
    <row r="271">
      <c r="A271" s="29"/>
      <c r="B271" s="29"/>
      <c r="C271" s="29"/>
      <c r="D271" s="29"/>
      <c r="E271" s="35"/>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row>
    <row r="272">
      <c r="A272" s="29"/>
      <c r="B272" s="29"/>
      <c r="C272" s="29"/>
      <c r="D272" s="29"/>
      <c r="E272" s="35"/>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row>
    <row r="273">
      <c r="A273" s="29"/>
      <c r="B273" s="29"/>
      <c r="C273" s="29"/>
      <c r="D273" s="29"/>
      <c r="E273" s="35"/>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row>
    <row r="274">
      <c r="A274" s="29"/>
      <c r="B274" s="29"/>
      <c r="C274" s="29"/>
      <c r="D274" s="29"/>
      <c r="E274" s="35"/>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row>
    <row r="275">
      <c r="A275" s="29"/>
      <c r="B275" s="29"/>
      <c r="C275" s="29"/>
      <c r="D275" s="29"/>
      <c r="E275" s="35"/>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row>
    <row r="276">
      <c r="A276" s="29"/>
      <c r="B276" s="29"/>
      <c r="C276" s="29"/>
      <c r="D276" s="29"/>
      <c r="E276" s="35"/>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row>
    <row r="277">
      <c r="A277" s="29"/>
      <c r="B277" s="29"/>
      <c r="C277" s="29"/>
      <c r="D277" s="29"/>
      <c r="E277" s="35"/>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row>
    <row r="278">
      <c r="A278" s="29"/>
      <c r="B278" s="29"/>
      <c r="C278" s="29"/>
      <c r="D278" s="29"/>
      <c r="E278" s="35"/>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row>
    <row r="279">
      <c r="A279" s="29"/>
      <c r="B279" s="29"/>
      <c r="C279" s="29"/>
      <c r="D279" s="29"/>
      <c r="E279" s="35"/>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row>
    <row r="280">
      <c r="A280" s="29"/>
      <c r="B280" s="29"/>
      <c r="C280" s="29"/>
      <c r="D280" s="29"/>
      <c r="E280" s="35"/>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row>
    <row r="281">
      <c r="A281" s="29"/>
      <c r="B281" s="29"/>
      <c r="C281" s="29"/>
      <c r="D281" s="29"/>
      <c r="E281" s="35"/>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row>
    <row r="282">
      <c r="A282" s="29"/>
      <c r="B282" s="29"/>
      <c r="C282" s="29"/>
      <c r="D282" s="29"/>
      <c r="E282" s="35"/>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row>
    <row r="283">
      <c r="A283" s="29"/>
      <c r="B283" s="29"/>
      <c r="C283" s="29"/>
      <c r="D283" s="29"/>
      <c r="E283" s="35"/>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row>
    <row r="284">
      <c r="A284" s="29"/>
      <c r="B284" s="29"/>
      <c r="C284" s="29"/>
      <c r="D284" s="29"/>
      <c r="E284" s="35"/>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row>
    <row r="285">
      <c r="A285" s="29"/>
      <c r="B285" s="29"/>
      <c r="C285" s="29"/>
      <c r="D285" s="29"/>
      <c r="E285" s="35"/>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row>
    <row r="286">
      <c r="A286" s="29"/>
      <c r="B286" s="29"/>
      <c r="C286" s="29"/>
      <c r="D286" s="29"/>
      <c r="E286" s="35"/>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row>
    <row r="287">
      <c r="A287" s="29"/>
      <c r="B287" s="29"/>
      <c r="C287" s="29"/>
      <c r="D287" s="29"/>
      <c r="E287" s="35"/>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row>
    <row r="288">
      <c r="A288" s="29"/>
      <c r="B288" s="29"/>
      <c r="C288" s="29"/>
      <c r="D288" s="29"/>
      <c r="E288" s="35"/>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row>
    <row r="289">
      <c r="A289" s="29"/>
      <c r="B289" s="29"/>
      <c r="C289" s="29"/>
      <c r="D289" s="29"/>
      <c r="E289" s="35"/>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row>
    <row r="290">
      <c r="A290" s="29"/>
      <c r="B290" s="29"/>
      <c r="C290" s="29"/>
      <c r="D290" s="29"/>
      <c r="E290" s="35"/>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row>
    <row r="291">
      <c r="A291" s="29"/>
      <c r="B291" s="29"/>
      <c r="C291" s="29"/>
      <c r="D291" s="29"/>
      <c r="E291" s="35"/>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row>
    <row r="292">
      <c r="A292" s="29"/>
      <c r="B292" s="29"/>
      <c r="C292" s="29"/>
      <c r="D292" s="29"/>
      <c r="E292" s="35"/>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row>
    <row r="293">
      <c r="A293" s="29"/>
      <c r="B293" s="29"/>
      <c r="C293" s="29"/>
      <c r="D293" s="29"/>
      <c r="E293" s="35"/>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row>
    <row r="294">
      <c r="A294" s="29"/>
      <c r="B294" s="29"/>
      <c r="C294" s="29"/>
      <c r="D294" s="29"/>
      <c r="E294" s="35"/>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row>
    <row r="295">
      <c r="A295" s="29"/>
      <c r="B295" s="29"/>
      <c r="C295" s="29"/>
      <c r="D295" s="29"/>
      <c r="E295" s="35"/>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row>
    <row r="296">
      <c r="A296" s="29"/>
      <c r="B296" s="29"/>
      <c r="C296" s="29"/>
      <c r="D296" s="29"/>
      <c r="E296" s="35"/>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row>
    <row r="297">
      <c r="A297" s="29"/>
      <c r="B297" s="29"/>
      <c r="C297" s="29"/>
      <c r="D297" s="29"/>
      <c r="E297" s="35"/>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row>
    <row r="298">
      <c r="A298" s="29"/>
      <c r="B298" s="29"/>
      <c r="C298" s="29"/>
      <c r="D298" s="29"/>
      <c r="E298" s="35"/>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row>
    <row r="299">
      <c r="A299" s="29"/>
      <c r="B299" s="29"/>
      <c r="C299" s="29"/>
      <c r="D299" s="29"/>
      <c r="E299" s="35"/>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row>
    <row r="300">
      <c r="A300" s="29"/>
      <c r="B300" s="29"/>
      <c r="C300" s="29"/>
      <c r="D300" s="29"/>
      <c r="E300" s="35"/>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row>
    <row r="301">
      <c r="A301" s="29"/>
      <c r="B301" s="29"/>
      <c r="C301" s="29"/>
      <c r="D301" s="29"/>
      <c r="E301" s="35"/>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row>
    <row r="302">
      <c r="A302" s="29"/>
      <c r="B302" s="29"/>
      <c r="C302" s="29"/>
      <c r="D302" s="29"/>
      <c r="E302" s="35"/>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row>
    <row r="303">
      <c r="A303" s="29"/>
      <c r="B303" s="29"/>
      <c r="C303" s="29"/>
      <c r="D303" s="29"/>
      <c r="E303" s="35"/>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row>
    <row r="304">
      <c r="A304" s="29"/>
      <c r="B304" s="29"/>
      <c r="C304" s="29"/>
      <c r="D304" s="29"/>
      <c r="E304" s="35"/>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row>
    <row r="305">
      <c r="A305" s="29"/>
      <c r="B305" s="29"/>
      <c r="C305" s="29"/>
      <c r="D305" s="29"/>
      <c r="E305" s="35"/>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row>
    <row r="306">
      <c r="A306" s="29"/>
      <c r="B306" s="29"/>
      <c r="C306" s="29"/>
      <c r="D306" s="29"/>
      <c r="E306" s="35"/>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row>
    <row r="307">
      <c r="A307" s="29"/>
      <c r="B307" s="29"/>
      <c r="C307" s="29"/>
      <c r="D307" s="29"/>
      <c r="E307" s="35"/>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row>
    <row r="308">
      <c r="A308" s="29"/>
      <c r="B308" s="29"/>
      <c r="C308" s="29"/>
      <c r="D308" s="29"/>
      <c r="E308" s="35"/>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row>
    <row r="309">
      <c r="A309" s="29"/>
      <c r="B309" s="29"/>
      <c r="C309" s="29"/>
      <c r="D309" s="29"/>
      <c r="E309" s="35"/>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row>
    <row r="310">
      <c r="A310" s="29"/>
      <c r="B310" s="29"/>
      <c r="C310" s="29"/>
      <c r="D310" s="29"/>
      <c r="E310" s="35"/>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row>
    <row r="311">
      <c r="A311" s="29"/>
      <c r="B311" s="29"/>
      <c r="C311" s="29"/>
      <c r="D311" s="29"/>
      <c r="E311" s="35"/>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row>
    <row r="312">
      <c r="A312" s="29"/>
      <c r="B312" s="29"/>
      <c r="C312" s="29"/>
      <c r="D312" s="29"/>
      <c r="E312" s="35"/>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row>
    <row r="313">
      <c r="A313" s="29"/>
      <c r="B313" s="29"/>
      <c r="C313" s="29"/>
      <c r="D313" s="29"/>
      <c r="E313" s="35"/>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row>
    <row r="314">
      <c r="A314" s="29"/>
      <c r="B314" s="29"/>
      <c r="C314" s="29"/>
      <c r="D314" s="29"/>
      <c r="E314" s="35"/>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row>
    <row r="315">
      <c r="A315" s="29"/>
      <c r="B315" s="29"/>
      <c r="C315" s="29"/>
      <c r="D315" s="29"/>
      <c r="E315" s="35"/>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row>
    <row r="316">
      <c r="A316" s="29"/>
      <c r="B316" s="29"/>
      <c r="C316" s="29"/>
      <c r="D316" s="29"/>
      <c r="E316" s="35"/>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row>
    <row r="317">
      <c r="A317" s="29"/>
      <c r="B317" s="29"/>
      <c r="C317" s="29"/>
      <c r="D317" s="29"/>
      <c r="E317" s="35"/>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row>
    <row r="318">
      <c r="A318" s="29"/>
      <c r="B318" s="29"/>
      <c r="C318" s="29"/>
      <c r="D318" s="29"/>
      <c r="E318" s="35"/>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row>
    <row r="319">
      <c r="A319" s="29"/>
      <c r="B319" s="29"/>
      <c r="C319" s="29"/>
      <c r="D319" s="29"/>
      <c r="E319" s="35"/>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row>
    <row r="320">
      <c r="A320" s="29"/>
      <c r="B320" s="29"/>
      <c r="C320" s="29"/>
      <c r="D320" s="29"/>
      <c r="E320" s="35"/>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row>
    <row r="321">
      <c r="A321" s="29"/>
      <c r="B321" s="29"/>
      <c r="C321" s="29"/>
      <c r="D321" s="29"/>
      <c r="E321" s="35"/>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row>
    <row r="322">
      <c r="A322" s="29"/>
      <c r="B322" s="29"/>
      <c r="C322" s="29"/>
      <c r="D322" s="29"/>
      <c r="E322" s="35"/>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row>
    <row r="323">
      <c r="A323" s="29"/>
      <c r="B323" s="29"/>
      <c r="C323" s="29"/>
      <c r="D323" s="29"/>
      <c r="E323" s="35"/>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row>
    <row r="324">
      <c r="A324" s="29"/>
      <c r="B324" s="29"/>
      <c r="C324" s="29"/>
      <c r="D324" s="29"/>
      <c r="E324" s="35"/>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row>
    <row r="325">
      <c r="A325" s="29"/>
      <c r="B325" s="29"/>
      <c r="C325" s="29"/>
      <c r="D325" s="29"/>
      <c r="E325" s="35"/>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row>
    <row r="326">
      <c r="A326" s="29"/>
      <c r="B326" s="29"/>
      <c r="C326" s="29"/>
      <c r="D326" s="29"/>
      <c r="E326" s="35"/>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row>
    <row r="327">
      <c r="A327" s="29"/>
      <c r="B327" s="29"/>
      <c r="C327" s="29"/>
      <c r="D327" s="29"/>
      <c r="E327" s="35"/>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row>
    <row r="328">
      <c r="A328" s="29"/>
      <c r="B328" s="29"/>
      <c r="C328" s="29"/>
      <c r="D328" s="29"/>
      <c r="E328" s="35"/>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row>
    <row r="329">
      <c r="A329" s="29"/>
      <c r="B329" s="29"/>
      <c r="C329" s="29"/>
      <c r="D329" s="29"/>
      <c r="E329" s="35"/>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row>
    <row r="330">
      <c r="A330" s="29"/>
      <c r="B330" s="29"/>
      <c r="C330" s="29"/>
      <c r="D330" s="29"/>
      <c r="E330" s="35"/>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row>
    <row r="331">
      <c r="A331" s="29"/>
      <c r="B331" s="29"/>
      <c r="C331" s="29"/>
      <c r="D331" s="29"/>
      <c r="E331" s="35"/>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row>
    <row r="332">
      <c r="A332" s="29"/>
      <c r="B332" s="29"/>
      <c r="C332" s="29"/>
      <c r="D332" s="29"/>
      <c r="E332" s="35"/>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row>
    <row r="333">
      <c r="A333" s="29"/>
      <c r="B333" s="29"/>
      <c r="C333" s="29"/>
      <c r="D333" s="29"/>
      <c r="E333" s="35"/>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row>
    <row r="334">
      <c r="A334" s="29"/>
      <c r="B334" s="29"/>
      <c r="C334" s="29"/>
      <c r="D334" s="29"/>
      <c r="E334" s="35"/>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row>
    <row r="335">
      <c r="A335" s="29"/>
      <c r="B335" s="29"/>
      <c r="C335" s="29"/>
      <c r="D335" s="29"/>
      <c r="E335" s="35"/>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row>
    <row r="336">
      <c r="A336" s="29"/>
      <c r="B336" s="29"/>
      <c r="C336" s="29"/>
      <c r="D336" s="29"/>
      <c r="E336" s="35"/>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row>
    <row r="337">
      <c r="A337" s="29"/>
      <c r="B337" s="29"/>
      <c r="C337" s="29"/>
      <c r="D337" s="29"/>
      <c r="E337" s="35"/>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row>
    <row r="338">
      <c r="A338" s="29"/>
      <c r="B338" s="29"/>
      <c r="C338" s="29"/>
      <c r="D338" s="29"/>
      <c r="E338" s="35"/>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row>
    <row r="339">
      <c r="A339" s="29"/>
      <c r="B339" s="29"/>
      <c r="C339" s="29"/>
      <c r="D339" s="29"/>
      <c r="E339" s="35"/>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row>
    <row r="340">
      <c r="A340" s="29"/>
      <c r="B340" s="29"/>
      <c r="C340" s="29"/>
      <c r="D340" s="29"/>
      <c r="E340" s="35"/>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row>
    <row r="341">
      <c r="A341" s="29"/>
      <c r="B341" s="29"/>
      <c r="C341" s="29"/>
      <c r="D341" s="29"/>
      <c r="E341" s="35"/>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row>
    <row r="342">
      <c r="A342" s="29"/>
      <c r="B342" s="29"/>
      <c r="C342" s="29"/>
      <c r="D342" s="29"/>
      <c r="E342" s="35"/>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row>
    <row r="343">
      <c r="A343" s="29"/>
      <c r="B343" s="29"/>
      <c r="C343" s="29"/>
      <c r="D343" s="29"/>
      <c r="E343" s="35"/>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row>
    <row r="344">
      <c r="A344" s="29"/>
      <c r="B344" s="29"/>
      <c r="C344" s="29"/>
      <c r="D344" s="29"/>
      <c r="E344" s="35"/>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row>
    <row r="345">
      <c r="A345" s="29"/>
      <c r="B345" s="29"/>
      <c r="C345" s="29"/>
      <c r="D345" s="29"/>
      <c r="E345" s="35"/>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row>
    <row r="346">
      <c r="A346" s="29"/>
      <c r="B346" s="29"/>
      <c r="C346" s="29"/>
      <c r="D346" s="29"/>
      <c r="E346" s="35"/>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row>
    <row r="347">
      <c r="A347" s="29"/>
      <c r="B347" s="29"/>
      <c r="C347" s="29"/>
      <c r="D347" s="29"/>
      <c r="E347" s="35"/>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row>
    <row r="348">
      <c r="A348" s="29"/>
      <c r="B348" s="29"/>
      <c r="C348" s="29"/>
      <c r="D348" s="29"/>
      <c r="E348" s="35"/>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row>
    <row r="349">
      <c r="A349" s="29"/>
      <c r="B349" s="29"/>
      <c r="C349" s="29"/>
      <c r="D349" s="29"/>
      <c r="E349" s="35"/>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row>
    <row r="350">
      <c r="A350" s="29"/>
      <c r="B350" s="29"/>
      <c r="C350" s="29"/>
      <c r="D350" s="29"/>
      <c r="E350" s="35"/>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row>
    <row r="351">
      <c r="A351" s="29"/>
      <c r="B351" s="29"/>
      <c r="C351" s="29"/>
      <c r="D351" s="29"/>
      <c r="E351" s="35"/>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row>
    <row r="352">
      <c r="A352" s="29"/>
      <c r="B352" s="29"/>
      <c r="C352" s="29"/>
      <c r="D352" s="29"/>
      <c r="E352" s="35"/>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row>
    <row r="353">
      <c r="A353" s="29"/>
      <c r="B353" s="29"/>
      <c r="C353" s="29"/>
      <c r="D353" s="29"/>
      <c r="E353" s="35"/>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row>
    <row r="354">
      <c r="A354" s="29"/>
      <c r="B354" s="29"/>
      <c r="C354" s="29"/>
      <c r="D354" s="29"/>
      <c r="E354" s="35"/>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row>
    <row r="355">
      <c r="A355" s="29"/>
      <c r="B355" s="29"/>
      <c r="C355" s="29"/>
      <c r="D355" s="29"/>
      <c r="E355" s="35"/>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row>
    <row r="356">
      <c r="A356" s="29"/>
      <c r="B356" s="29"/>
      <c r="C356" s="29"/>
      <c r="D356" s="29"/>
      <c r="E356" s="35"/>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row>
    <row r="357">
      <c r="A357" s="29"/>
      <c r="B357" s="29"/>
      <c r="C357" s="29"/>
      <c r="D357" s="29"/>
      <c r="E357" s="35"/>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row>
    <row r="358">
      <c r="A358" s="29"/>
      <c r="B358" s="29"/>
      <c r="C358" s="29"/>
      <c r="D358" s="29"/>
      <c r="E358" s="35"/>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row>
    <row r="359">
      <c r="A359" s="29"/>
      <c r="B359" s="29"/>
      <c r="C359" s="29"/>
      <c r="D359" s="29"/>
      <c r="E359" s="35"/>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row>
    <row r="360">
      <c r="A360" s="29"/>
      <c r="B360" s="29"/>
      <c r="C360" s="29"/>
      <c r="D360" s="29"/>
      <c r="E360" s="35"/>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row>
    <row r="361">
      <c r="A361" s="29"/>
      <c r="B361" s="29"/>
      <c r="C361" s="29"/>
      <c r="D361" s="29"/>
      <c r="E361" s="35"/>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row>
    <row r="362">
      <c r="A362" s="29"/>
      <c r="B362" s="29"/>
      <c r="C362" s="29"/>
      <c r="D362" s="29"/>
      <c r="E362" s="35"/>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row>
    <row r="363">
      <c r="A363" s="29"/>
      <c r="B363" s="29"/>
      <c r="C363" s="29"/>
      <c r="D363" s="29"/>
      <c r="E363" s="35"/>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row>
    <row r="364">
      <c r="A364" s="29"/>
      <c r="B364" s="29"/>
      <c r="C364" s="29"/>
      <c r="D364" s="29"/>
      <c r="E364" s="35"/>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row>
    <row r="365">
      <c r="A365" s="29"/>
      <c r="B365" s="29"/>
      <c r="C365" s="29"/>
      <c r="D365" s="29"/>
      <c r="E365" s="35"/>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row>
    <row r="366">
      <c r="A366" s="29"/>
      <c r="B366" s="29"/>
      <c r="C366" s="29"/>
      <c r="D366" s="29"/>
      <c r="E366" s="35"/>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row>
    <row r="367">
      <c r="A367" s="29"/>
      <c r="B367" s="29"/>
      <c r="C367" s="29"/>
      <c r="D367" s="29"/>
      <c r="E367" s="35"/>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row>
    <row r="368">
      <c r="A368" s="29"/>
      <c r="B368" s="29"/>
      <c r="C368" s="29"/>
      <c r="D368" s="29"/>
      <c r="E368" s="35"/>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row>
    <row r="369">
      <c r="A369" s="29"/>
      <c r="B369" s="29"/>
      <c r="C369" s="29"/>
      <c r="D369" s="29"/>
      <c r="E369" s="35"/>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row>
    <row r="370">
      <c r="A370" s="29"/>
      <c r="B370" s="29"/>
      <c r="C370" s="29"/>
      <c r="D370" s="29"/>
      <c r="E370" s="35"/>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row>
    <row r="371">
      <c r="A371" s="29"/>
      <c r="B371" s="29"/>
      <c r="C371" s="29"/>
      <c r="D371" s="29"/>
      <c r="E371" s="35"/>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row>
    <row r="372">
      <c r="A372" s="29"/>
      <c r="B372" s="29"/>
      <c r="C372" s="29"/>
      <c r="D372" s="29"/>
      <c r="E372" s="35"/>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row>
    <row r="373">
      <c r="A373" s="29"/>
      <c r="B373" s="29"/>
      <c r="C373" s="29"/>
      <c r="D373" s="29"/>
      <c r="E373" s="35"/>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row>
    <row r="374">
      <c r="A374" s="29"/>
      <c r="B374" s="29"/>
      <c r="C374" s="29"/>
      <c r="D374" s="29"/>
      <c r="E374" s="35"/>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row>
    <row r="375">
      <c r="A375" s="29"/>
      <c r="B375" s="29"/>
      <c r="C375" s="29"/>
      <c r="D375" s="29"/>
      <c r="E375" s="35"/>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row>
    <row r="376">
      <c r="A376" s="29"/>
      <c r="B376" s="29"/>
      <c r="C376" s="29"/>
      <c r="D376" s="29"/>
      <c r="E376" s="35"/>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row>
    <row r="377">
      <c r="A377" s="29"/>
      <c r="B377" s="29"/>
      <c r="C377" s="29"/>
      <c r="D377" s="29"/>
      <c r="E377" s="35"/>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row>
    <row r="378">
      <c r="A378" s="29"/>
      <c r="B378" s="29"/>
      <c r="C378" s="29"/>
      <c r="D378" s="29"/>
      <c r="E378" s="35"/>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row>
    <row r="379">
      <c r="A379" s="29"/>
      <c r="B379" s="29"/>
      <c r="C379" s="29"/>
      <c r="D379" s="29"/>
      <c r="E379" s="35"/>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row>
    <row r="380">
      <c r="A380" s="29"/>
      <c r="B380" s="29"/>
      <c r="C380" s="29"/>
      <c r="D380" s="29"/>
      <c r="E380" s="35"/>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row>
    <row r="381">
      <c r="A381" s="29"/>
      <c r="B381" s="29"/>
      <c r="C381" s="29"/>
      <c r="D381" s="29"/>
      <c r="E381" s="35"/>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row>
    <row r="382">
      <c r="A382" s="29"/>
      <c r="B382" s="29"/>
      <c r="C382" s="29"/>
      <c r="D382" s="29"/>
      <c r="E382" s="35"/>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row>
    <row r="383">
      <c r="A383" s="29"/>
      <c r="B383" s="29"/>
      <c r="C383" s="29"/>
      <c r="D383" s="29"/>
      <c r="E383" s="35"/>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row>
    <row r="384">
      <c r="A384" s="29"/>
      <c r="B384" s="29"/>
      <c r="C384" s="29"/>
      <c r="D384" s="29"/>
      <c r="E384" s="35"/>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row>
    <row r="385">
      <c r="A385" s="29"/>
      <c r="B385" s="29"/>
      <c r="C385" s="29"/>
      <c r="D385" s="29"/>
      <c r="E385" s="35"/>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row>
    <row r="386">
      <c r="A386" s="29"/>
      <c r="B386" s="29"/>
      <c r="C386" s="29"/>
      <c r="D386" s="29"/>
      <c r="E386" s="35"/>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row>
    <row r="387">
      <c r="A387" s="29"/>
      <c r="B387" s="29"/>
      <c r="C387" s="29"/>
      <c r="D387" s="29"/>
      <c r="E387" s="35"/>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row>
    <row r="388">
      <c r="A388" s="29"/>
      <c r="B388" s="29"/>
      <c r="C388" s="29"/>
      <c r="D388" s="29"/>
      <c r="E388" s="35"/>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row>
    <row r="389">
      <c r="A389" s="29"/>
      <c r="B389" s="29"/>
      <c r="C389" s="29"/>
      <c r="D389" s="29"/>
      <c r="E389" s="35"/>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row>
    <row r="390">
      <c r="A390" s="29"/>
      <c r="B390" s="29"/>
      <c r="C390" s="29"/>
      <c r="D390" s="29"/>
      <c r="E390" s="35"/>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row>
    <row r="391">
      <c r="A391" s="29"/>
      <c r="B391" s="29"/>
      <c r="C391" s="29"/>
      <c r="D391" s="29"/>
      <c r="E391" s="35"/>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row>
    <row r="392">
      <c r="A392" s="29"/>
      <c r="B392" s="29"/>
      <c r="C392" s="29"/>
      <c r="D392" s="29"/>
      <c r="E392" s="35"/>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row>
    <row r="393">
      <c r="A393" s="29"/>
      <c r="B393" s="29"/>
      <c r="C393" s="29"/>
      <c r="D393" s="29"/>
      <c r="E393" s="35"/>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row>
    <row r="394">
      <c r="A394" s="29"/>
      <c r="B394" s="29"/>
      <c r="C394" s="29"/>
      <c r="D394" s="29"/>
      <c r="E394" s="35"/>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row>
    <row r="395">
      <c r="A395" s="29"/>
      <c r="B395" s="29"/>
      <c r="C395" s="29"/>
      <c r="D395" s="29"/>
      <c r="E395" s="35"/>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row>
    <row r="396">
      <c r="A396" s="29"/>
      <c r="B396" s="29"/>
      <c r="C396" s="29"/>
      <c r="D396" s="29"/>
      <c r="E396" s="35"/>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row>
    <row r="397">
      <c r="A397" s="29"/>
      <c r="B397" s="29"/>
      <c r="C397" s="29"/>
      <c r="D397" s="29"/>
      <c r="E397" s="35"/>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row>
    <row r="398">
      <c r="A398" s="29"/>
      <c r="B398" s="29"/>
      <c r="C398" s="29"/>
      <c r="D398" s="29"/>
      <c r="E398" s="35"/>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row>
    <row r="399">
      <c r="A399" s="29"/>
      <c r="B399" s="29"/>
      <c r="C399" s="29"/>
      <c r="D399" s="29"/>
      <c r="E399" s="35"/>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row>
    <row r="400">
      <c r="A400" s="29"/>
      <c r="B400" s="29"/>
      <c r="C400" s="29"/>
      <c r="D400" s="29"/>
      <c r="E400" s="35"/>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row>
    <row r="401">
      <c r="A401" s="29"/>
      <c r="B401" s="29"/>
      <c r="C401" s="29"/>
      <c r="D401" s="29"/>
      <c r="E401" s="35"/>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row>
    <row r="402">
      <c r="A402" s="29"/>
      <c r="B402" s="29"/>
      <c r="C402" s="29"/>
      <c r="D402" s="29"/>
      <c r="E402" s="35"/>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row>
    <row r="403">
      <c r="A403" s="29"/>
      <c r="B403" s="29"/>
      <c r="C403" s="29"/>
      <c r="D403" s="29"/>
      <c r="E403" s="35"/>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row>
    <row r="404">
      <c r="A404" s="29"/>
      <c r="B404" s="29"/>
      <c r="C404" s="29"/>
      <c r="D404" s="29"/>
      <c r="E404" s="35"/>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row>
    <row r="405">
      <c r="A405" s="29"/>
      <c r="B405" s="29"/>
      <c r="C405" s="29"/>
      <c r="D405" s="29"/>
      <c r="E405" s="35"/>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row>
    <row r="406">
      <c r="A406" s="29"/>
      <c r="B406" s="29"/>
      <c r="C406" s="29"/>
      <c r="D406" s="29"/>
      <c r="E406" s="35"/>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row>
    <row r="407">
      <c r="A407" s="29"/>
      <c r="B407" s="29"/>
      <c r="C407" s="29"/>
      <c r="D407" s="29"/>
      <c r="E407" s="35"/>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row>
    <row r="408">
      <c r="A408" s="29"/>
      <c r="B408" s="29"/>
      <c r="C408" s="29"/>
      <c r="D408" s="29"/>
      <c r="E408" s="35"/>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row>
    <row r="409">
      <c r="A409" s="29"/>
      <c r="B409" s="29"/>
      <c r="C409" s="29"/>
      <c r="D409" s="29"/>
      <c r="E409" s="35"/>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row>
    <row r="410">
      <c r="A410" s="29"/>
      <c r="B410" s="29"/>
      <c r="C410" s="29"/>
      <c r="D410" s="29"/>
      <c r="E410" s="35"/>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row>
    <row r="411">
      <c r="A411" s="29"/>
      <c r="B411" s="29"/>
      <c r="C411" s="29"/>
      <c r="D411" s="29"/>
      <c r="E411" s="35"/>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row>
    <row r="412">
      <c r="A412" s="29"/>
      <c r="B412" s="29"/>
      <c r="C412" s="29"/>
      <c r="D412" s="29"/>
      <c r="E412" s="35"/>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row>
    <row r="413">
      <c r="A413" s="29"/>
      <c r="B413" s="29"/>
      <c r="C413" s="29"/>
      <c r="D413" s="29"/>
      <c r="E413" s="35"/>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row>
    <row r="414">
      <c r="A414" s="29"/>
      <c r="B414" s="29"/>
      <c r="C414" s="29"/>
      <c r="D414" s="29"/>
      <c r="E414" s="35"/>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row>
    <row r="415">
      <c r="A415" s="29"/>
      <c r="B415" s="29"/>
      <c r="C415" s="29"/>
      <c r="D415" s="29"/>
      <c r="E415" s="35"/>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row>
    <row r="416">
      <c r="A416" s="29"/>
      <c r="B416" s="29"/>
      <c r="C416" s="29"/>
      <c r="D416" s="29"/>
      <c r="E416" s="35"/>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row>
    <row r="417">
      <c r="A417" s="29"/>
      <c r="B417" s="29"/>
      <c r="C417" s="29"/>
      <c r="D417" s="29"/>
      <c r="E417" s="35"/>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row>
    <row r="418">
      <c r="A418" s="29"/>
      <c r="B418" s="29"/>
      <c r="C418" s="29"/>
      <c r="D418" s="29"/>
      <c r="E418" s="35"/>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row>
    <row r="419">
      <c r="A419" s="29"/>
      <c r="B419" s="29"/>
      <c r="C419" s="29"/>
      <c r="D419" s="29"/>
      <c r="E419" s="35"/>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row>
    <row r="420">
      <c r="A420" s="29"/>
      <c r="B420" s="29"/>
      <c r="C420" s="29"/>
      <c r="D420" s="29"/>
      <c r="E420" s="35"/>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row>
    <row r="421">
      <c r="A421" s="29"/>
      <c r="B421" s="29"/>
      <c r="C421" s="29"/>
      <c r="D421" s="29"/>
      <c r="E421" s="35"/>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row>
    <row r="422">
      <c r="A422" s="29"/>
      <c r="B422" s="29"/>
      <c r="C422" s="29"/>
      <c r="D422" s="29"/>
      <c r="E422" s="35"/>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row>
    <row r="423">
      <c r="A423" s="29"/>
      <c r="B423" s="29"/>
      <c r="C423" s="29"/>
      <c r="D423" s="29"/>
      <c r="E423" s="35"/>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row>
    <row r="424">
      <c r="A424" s="29"/>
      <c r="B424" s="29"/>
      <c r="C424" s="29"/>
      <c r="D424" s="29"/>
      <c r="E424" s="35"/>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row>
    <row r="425">
      <c r="A425" s="29"/>
      <c r="B425" s="29"/>
      <c r="C425" s="29"/>
      <c r="D425" s="29"/>
      <c r="E425" s="35"/>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row>
    <row r="426">
      <c r="A426" s="29"/>
      <c r="B426" s="29"/>
      <c r="C426" s="29"/>
      <c r="D426" s="29"/>
      <c r="E426" s="35"/>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row>
    <row r="427">
      <c r="A427" s="29"/>
      <c r="B427" s="29"/>
      <c r="C427" s="29"/>
      <c r="D427" s="29"/>
      <c r="E427" s="35"/>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row>
    <row r="428">
      <c r="A428" s="29"/>
      <c r="B428" s="29"/>
      <c r="C428" s="29"/>
      <c r="D428" s="29"/>
      <c r="E428" s="35"/>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row>
    <row r="429">
      <c r="A429" s="29"/>
      <c r="B429" s="29"/>
      <c r="C429" s="29"/>
      <c r="D429" s="29"/>
      <c r="E429" s="35"/>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row>
    <row r="430">
      <c r="A430" s="29"/>
      <c r="B430" s="29"/>
      <c r="C430" s="29"/>
      <c r="D430" s="29"/>
      <c r="E430" s="35"/>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row>
    <row r="431">
      <c r="A431" s="29"/>
      <c r="B431" s="29"/>
      <c r="C431" s="29"/>
      <c r="D431" s="29"/>
      <c r="E431" s="35"/>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row>
    <row r="432">
      <c r="A432" s="29"/>
      <c r="B432" s="29"/>
      <c r="C432" s="29"/>
      <c r="D432" s="29"/>
      <c r="E432" s="35"/>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row>
    <row r="433">
      <c r="A433" s="29"/>
      <c r="B433" s="29"/>
      <c r="C433" s="29"/>
      <c r="D433" s="29"/>
      <c r="E433" s="35"/>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row>
    <row r="434">
      <c r="A434" s="29"/>
      <c r="B434" s="29"/>
      <c r="C434" s="29"/>
      <c r="D434" s="29"/>
      <c r="E434" s="35"/>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row>
    <row r="435">
      <c r="A435" s="29"/>
      <c r="B435" s="29"/>
      <c r="C435" s="29"/>
      <c r="D435" s="29"/>
      <c r="E435" s="35"/>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row>
    <row r="436">
      <c r="A436" s="29"/>
      <c r="B436" s="29"/>
      <c r="C436" s="29"/>
      <c r="D436" s="29"/>
      <c r="E436" s="35"/>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row>
    <row r="437">
      <c r="A437" s="29"/>
      <c r="B437" s="29"/>
      <c r="C437" s="29"/>
      <c r="D437" s="29"/>
      <c r="E437" s="35"/>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row>
    <row r="438">
      <c r="A438" s="29"/>
      <c r="B438" s="29"/>
      <c r="C438" s="29"/>
      <c r="D438" s="29"/>
      <c r="E438" s="35"/>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row>
    <row r="439">
      <c r="A439" s="29"/>
      <c r="B439" s="29"/>
      <c r="C439" s="29"/>
      <c r="D439" s="29"/>
      <c r="E439" s="35"/>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row>
    <row r="440">
      <c r="A440" s="29"/>
      <c r="B440" s="29"/>
      <c r="C440" s="29"/>
      <c r="D440" s="29"/>
      <c r="E440" s="35"/>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row>
    <row r="441">
      <c r="A441" s="29"/>
      <c r="B441" s="29"/>
      <c r="C441" s="29"/>
      <c r="D441" s="29"/>
      <c r="E441" s="35"/>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row>
    <row r="442">
      <c r="A442" s="29"/>
      <c r="B442" s="29"/>
      <c r="C442" s="29"/>
      <c r="D442" s="29"/>
      <c r="E442" s="35"/>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row>
    <row r="443">
      <c r="A443" s="29"/>
      <c r="B443" s="29"/>
      <c r="C443" s="29"/>
      <c r="D443" s="29"/>
      <c r="E443" s="35"/>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row>
    <row r="444">
      <c r="A444" s="29"/>
      <c r="B444" s="29"/>
      <c r="C444" s="29"/>
      <c r="D444" s="29"/>
      <c r="E444" s="35"/>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row>
    <row r="445">
      <c r="A445" s="29"/>
      <c r="B445" s="29"/>
      <c r="C445" s="29"/>
      <c r="D445" s="29"/>
      <c r="E445" s="35"/>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row>
    <row r="446">
      <c r="A446" s="29"/>
      <c r="B446" s="29"/>
      <c r="C446" s="29"/>
      <c r="D446" s="29"/>
      <c r="E446" s="35"/>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row>
    <row r="447">
      <c r="A447" s="29"/>
      <c r="B447" s="29"/>
      <c r="C447" s="29"/>
      <c r="D447" s="29"/>
      <c r="E447" s="35"/>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row>
    <row r="448">
      <c r="A448" s="29"/>
      <c r="B448" s="29"/>
      <c r="C448" s="29"/>
      <c r="D448" s="29"/>
      <c r="E448" s="35"/>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row>
    <row r="449">
      <c r="A449" s="29"/>
      <c r="B449" s="29"/>
      <c r="C449" s="29"/>
      <c r="D449" s="29"/>
      <c r="E449" s="35"/>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row>
    <row r="450">
      <c r="A450" s="29"/>
      <c r="B450" s="29"/>
      <c r="C450" s="29"/>
      <c r="D450" s="29"/>
      <c r="E450" s="35"/>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row>
    <row r="451">
      <c r="A451" s="29"/>
      <c r="B451" s="29"/>
      <c r="C451" s="29"/>
      <c r="D451" s="29"/>
      <c r="E451" s="35"/>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row>
    <row r="452">
      <c r="A452" s="29"/>
      <c r="B452" s="29"/>
      <c r="C452" s="29"/>
      <c r="D452" s="29"/>
      <c r="E452" s="35"/>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row>
    <row r="453">
      <c r="A453" s="29"/>
      <c r="B453" s="29"/>
      <c r="C453" s="29"/>
      <c r="D453" s="29"/>
      <c r="E453" s="35"/>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row>
    <row r="454">
      <c r="A454" s="29"/>
      <c r="B454" s="29"/>
      <c r="C454" s="29"/>
      <c r="D454" s="29"/>
      <c r="E454" s="35"/>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row>
    <row r="455">
      <c r="A455" s="29"/>
      <c r="B455" s="29"/>
      <c r="C455" s="29"/>
      <c r="D455" s="29"/>
      <c r="E455" s="35"/>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row>
    <row r="456">
      <c r="A456" s="29"/>
      <c r="B456" s="29"/>
      <c r="C456" s="29"/>
      <c r="D456" s="29"/>
      <c r="E456" s="35"/>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row>
    <row r="457">
      <c r="A457" s="29"/>
      <c r="B457" s="29"/>
      <c r="C457" s="29"/>
      <c r="D457" s="29"/>
      <c r="E457" s="35"/>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row>
    <row r="458">
      <c r="A458" s="29"/>
      <c r="B458" s="29"/>
      <c r="C458" s="29"/>
      <c r="D458" s="29"/>
      <c r="E458" s="35"/>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row>
    <row r="459">
      <c r="A459" s="29"/>
      <c r="B459" s="29"/>
      <c r="C459" s="29"/>
      <c r="D459" s="29"/>
      <c r="E459" s="35"/>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row>
    <row r="460">
      <c r="A460" s="29"/>
      <c r="B460" s="29"/>
      <c r="C460" s="29"/>
      <c r="D460" s="29"/>
      <c r="E460" s="35"/>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row>
    <row r="461">
      <c r="A461" s="29"/>
      <c r="B461" s="29"/>
      <c r="C461" s="29"/>
      <c r="D461" s="29"/>
      <c r="E461" s="35"/>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row>
    <row r="462">
      <c r="A462" s="29"/>
      <c r="B462" s="29"/>
      <c r="C462" s="29"/>
      <c r="D462" s="29"/>
      <c r="E462" s="35"/>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row>
    <row r="463">
      <c r="A463" s="29"/>
      <c r="B463" s="29"/>
      <c r="C463" s="29"/>
      <c r="D463" s="29"/>
      <c r="E463" s="35"/>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row>
    <row r="464">
      <c r="A464" s="29"/>
      <c r="B464" s="29"/>
      <c r="C464" s="29"/>
      <c r="D464" s="29"/>
      <c r="E464" s="35"/>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row>
    <row r="465">
      <c r="A465" s="29"/>
      <c r="B465" s="29"/>
      <c r="C465" s="29"/>
      <c r="D465" s="29"/>
      <c r="E465" s="35"/>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row>
    <row r="466">
      <c r="A466" s="29"/>
      <c r="B466" s="29"/>
      <c r="C466" s="29"/>
      <c r="D466" s="29"/>
      <c r="E466" s="35"/>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row>
    <row r="467">
      <c r="A467" s="29"/>
      <c r="B467" s="29"/>
      <c r="C467" s="29"/>
      <c r="D467" s="29"/>
      <c r="E467" s="35"/>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row>
    <row r="468">
      <c r="A468" s="29"/>
      <c r="B468" s="29"/>
      <c r="C468" s="29"/>
      <c r="D468" s="29"/>
      <c r="E468" s="35"/>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row>
    <row r="469">
      <c r="A469" s="29"/>
      <c r="B469" s="29"/>
      <c r="C469" s="29"/>
      <c r="D469" s="29"/>
      <c r="E469" s="35"/>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row>
    <row r="470">
      <c r="A470" s="29"/>
      <c r="B470" s="29"/>
      <c r="C470" s="29"/>
      <c r="D470" s="29"/>
      <c r="E470" s="35"/>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row>
    <row r="471">
      <c r="A471" s="29"/>
      <c r="B471" s="29"/>
      <c r="C471" s="29"/>
      <c r="D471" s="29"/>
      <c r="E471" s="35"/>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row>
    <row r="472">
      <c r="A472" s="29"/>
      <c r="B472" s="29"/>
      <c r="C472" s="29"/>
      <c r="D472" s="29"/>
      <c r="E472" s="35"/>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row>
    <row r="473">
      <c r="A473" s="29"/>
      <c r="B473" s="29"/>
      <c r="C473" s="29"/>
      <c r="D473" s="29"/>
      <c r="E473" s="35"/>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row>
    <row r="474">
      <c r="A474" s="29"/>
      <c r="B474" s="29"/>
      <c r="C474" s="29"/>
      <c r="D474" s="29"/>
      <c r="E474" s="35"/>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row>
    <row r="475">
      <c r="A475" s="29"/>
      <c r="B475" s="29"/>
      <c r="C475" s="29"/>
      <c r="D475" s="29"/>
      <c r="E475" s="35"/>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row>
    <row r="476">
      <c r="A476" s="29"/>
      <c r="B476" s="29"/>
      <c r="C476" s="29"/>
      <c r="D476" s="29"/>
      <c r="E476" s="35"/>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row>
    <row r="477">
      <c r="A477" s="29"/>
      <c r="B477" s="29"/>
      <c r="C477" s="29"/>
      <c r="D477" s="29"/>
      <c r="E477" s="35"/>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row>
    <row r="478">
      <c r="A478" s="29"/>
      <c r="B478" s="29"/>
      <c r="C478" s="29"/>
      <c r="D478" s="29"/>
      <c r="E478" s="35"/>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row>
    <row r="479">
      <c r="A479" s="29"/>
      <c r="B479" s="29"/>
      <c r="C479" s="29"/>
      <c r="D479" s="29"/>
      <c r="E479" s="35"/>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row>
    <row r="480">
      <c r="A480" s="29"/>
      <c r="B480" s="29"/>
      <c r="C480" s="29"/>
      <c r="D480" s="29"/>
      <c r="E480" s="35"/>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row>
    <row r="481">
      <c r="A481" s="29"/>
      <c r="B481" s="29"/>
      <c r="C481" s="29"/>
      <c r="D481" s="29"/>
      <c r="E481" s="35"/>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row>
    <row r="482">
      <c r="A482" s="29"/>
      <c r="B482" s="29"/>
      <c r="C482" s="29"/>
      <c r="D482" s="29"/>
      <c r="E482" s="35"/>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row>
    <row r="483">
      <c r="A483" s="29"/>
      <c r="B483" s="29"/>
      <c r="C483" s="29"/>
      <c r="D483" s="29"/>
      <c r="E483" s="35"/>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row>
    <row r="484">
      <c r="A484" s="29"/>
      <c r="B484" s="29"/>
      <c r="C484" s="29"/>
      <c r="D484" s="29"/>
      <c r="E484" s="35"/>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row>
    <row r="485">
      <c r="A485" s="29"/>
      <c r="B485" s="29"/>
      <c r="C485" s="29"/>
      <c r="D485" s="29"/>
      <c r="E485" s="35"/>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row>
    <row r="486">
      <c r="A486" s="29"/>
      <c r="B486" s="29"/>
      <c r="C486" s="29"/>
      <c r="D486" s="29"/>
      <c r="E486" s="35"/>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row>
    <row r="487">
      <c r="A487" s="29"/>
      <c r="B487" s="29"/>
      <c r="C487" s="29"/>
      <c r="D487" s="29"/>
      <c r="E487" s="35"/>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row>
    <row r="488">
      <c r="A488" s="29"/>
      <c r="B488" s="29"/>
      <c r="C488" s="29"/>
      <c r="D488" s="29"/>
      <c r="E488" s="35"/>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row>
    <row r="489">
      <c r="A489" s="29"/>
      <c r="B489" s="29"/>
      <c r="C489" s="29"/>
      <c r="D489" s="29"/>
      <c r="E489" s="35"/>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row>
    <row r="490">
      <c r="A490" s="29"/>
      <c r="B490" s="29"/>
      <c r="C490" s="29"/>
      <c r="D490" s="29"/>
      <c r="E490" s="35"/>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row>
    <row r="491">
      <c r="A491" s="29"/>
      <c r="B491" s="29"/>
      <c r="C491" s="29"/>
      <c r="D491" s="29"/>
      <c r="E491" s="35"/>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row>
    <row r="492">
      <c r="A492" s="29"/>
      <c r="B492" s="29"/>
      <c r="C492" s="29"/>
      <c r="D492" s="29"/>
      <c r="E492" s="35"/>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row>
    <row r="493">
      <c r="A493" s="29"/>
      <c r="B493" s="29"/>
      <c r="C493" s="29"/>
      <c r="D493" s="29"/>
      <c r="E493" s="35"/>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row>
    <row r="494">
      <c r="A494" s="29"/>
      <c r="B494" s="29"/>
      <c r="C494" s="29"/>
      <c r="D494" s="29"/>
      <c r="E494" s="35"/>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row>
    <row r="495">
      <c r="A495" s="29"/>
      <c r="B495" s="29"/>
      <c r="C495" s="29"/>
      <c r="D495" s="29"/>
      <c r="E495" s="35"/>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row>
    <row r="496">
      <c r="A496" s="29"/>
      <c r="B496" s="29"/>
      <c r="C496" s="29"/>
      <c r="D496" s="29"/>
      <c r="E496" s="35"/>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row>
    <row r="497">
      <c r="A497" s="29"/>
      <c r="B497" s="29"/>
      <c r="C497" s="29"/>
      <c r="D497" s="29"/>
      <c r="E497" s="35"/>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row>
    <row r="498">
      <c r="A498" s="29"/>
      <c r="B498" s="29"/>
      <c r="C498" s="29"/>
      <c r="D498" s="29"/>
      <c r="E498" s="35"/>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row>
    <row r="499">
      <c r="A499" s="29"/>
      <c r="B499" s="29"/>
      <c r="C499" s="29"/>
      <c r="D499" s="29"/>
      <c r="E499" s="35"/>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row>
    <row r="500">
      <c r="A500" s="29"/>
      <c r="B500" s="29"/>
      <c r="C500" s="29"/>
      <c r="D500" s="29"/>
      <c r="E500" s="35"/>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row>
    <row r="501">
      <c r="A501" s="29"/>
      <c r="B501" s="29"/>
      <c r="C501" s="29"/>
      <c r="D501" s="29"/>
      <c r="E501" s="35"/>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row>
    <row r="502">
      <c r="A502" s="29"/>
      <c r="B502" s="29"/>
      <c r="C502" s="29"/>
      <c r="D502" s="29"/>
      <c r="E502" s="35"/>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row>
    <row r="503">
      <c r="A503" s="29"/>
      <c r="B503" s="29"/>
      <c r="C503" s="29"/>
      <c r="D503" s="29"/>
      <c r="E503" s="35"/>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row>
    <row r="504">
      <c r="A504" s="29"/>
      <c r="B504" s="29"/>
      <c r="C504" s="29"/>
      <c r="D504" s="29"/>
      <c r="E504" s="35"/>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row>
    <row r="505">
      <c r="A505" s="29"/>
      <c r="B505" s="29"/>
      <c r="C505" s="29"/>
      <c r="D505" s="29"/>
      <c r="E505" s="35"/>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row>
    <row r="506">
      <c r="A506" s="29"/>
      <c r="B506" s="29"/>
      <c r="C506" s="29"/>
      <c r="D506" s="29"/>
      <c r="E506" s="35"/>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row>
    <row r="507">
      <c r="A507" s="29"/>
      <c r="B507" s="29"/>
      <c r="C507" s="29"/>
      <c r="D507" s="29"/>
      <c r="E507" s="35"/>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row>
    <row r="508">
      <c r="A508" s="29"/>
      <c r="B508" s="29"/>
      <c r="C508" s="29"/>
      <c r="D508" s="29"/>
      <c r="E508" s="35"/>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row>
    <row r="509">
      <c r="A509" s="29"/>
      <c r="B509" s="29"/>
      <c r="C509" s="29"/>
      <c r="D509" s="29"/>
      <c r="E509" s="35"/>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row>
    <row r="510">
      <c r="A510" s="29"/>
      <c r="B510" s="29"/>
      <c r="C510" s="29"/>
      <c r="D510" s="29"/>
      <c r="E510" s="35"/>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row>
    <row r="511">
      <c r="A511" s="29"/>
      <c r="B511" s="29"/>
      <c r="C511" s="29"/>
      <c r="D511" s="29"/>
      <c r="E511" s="35"/>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row>
    <row r="512">
      <c r="A512" s="29"/>
      <c r="B512" s="29"/>
      <c r="C512" s="29"/>
      <c r="D512" s="29"/>
      <c r="E512" s="35"/>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row>
    <row r="513">
      <c r="A513" s="29"/>
      <c r="B513" s="29"/>
      <c r="C513" s="29"/>
      <c r="D513" s="29"/>
      <c r="E513" s="35"/>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row>
    <row r="514">
      <c r="A514" s="29"/>
      <c r="B514" s="29"/>
      <c r="C514" s="29"/>
      <c r="D514" s="29"/>
      <c r="E514" s="35"/>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row>
    <row r="515">
      <c r="A515" s="29"/>
      <c r="B515" s="29"/>
      <c r="C515" s="29"/>
      <c r="D515" s="29"/>
      <c r="E515" s="35"/>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row>
    <row r="516">
      <c r="A516" s="29"/>
      <c r="B516" s="29"/>
      <c r="C516" s="29"/>
      <c r="D516" s="29"/>
      <c r="E516" s="35"/>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row>
    <row r="517">
      <c r="A517" s="29"/>
      <c r="B517" s="29"/>
      <c r="C517" s="29"/>
      <c r="D517" s="29"/>
      <c r="E517" s="35"/>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row>
    <row r="518">
      <c r="A518" s="29"/>
      <c r="B518" s="29"/>
      <c r="C518" s="29"/>
      <c r="D518" s="29"/>
      <c r="E518" s="35"/>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row>
    <row r="519">
      <c r="A519" s="29"/>
      <c r="B519" s="29"/>
      <c r="C519" s="29"/>
      <c r="D519" s="29"/>
      <c r="E519" s="35"/>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row>
    <row r="520">
      <c r="A520" s="29"/>
      <c r="B520" s="29"/>
      <c r="C520" s="29"/>
      <c r="D520" s="29"/>
      <c r="E520" s="35"/>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row>
    <row r="521">
      <c r="A521" s="29"/>
      <c r="B521" s="29"/>
      <c r="C521" s="29"/>
      <c r="D521" s="29"/>
      <c r="E521" s="35"/>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row>
    <row r="522">
      <c r="A522" s="29"/>
      <c r="B522" s="29"/>
      <c r="C522" s="29"/>
      <c r="D522" s="29"/>
      <c r="E522" s="35"/>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row>
    <row r="523">
      <c r="A523" s="29"/>
      <c r="B523" s="29"/>
      <c r="C523" s="29"/>
      <c r="D523" s="29"/>
      <c r="E523" s="35"/>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row>
    <row r="524">
      <c r="A524" s="29"/>
      <c r="B524" s="29"/>
      <c r="C524" s="29"/>
      <c r="D524" s="29"/>
      <c r="E524" s="35"/>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row>
    <row r="525">
      <c r="A525" s="29"/>
      <c r="B525" s="29"/>
      <c r="C525" s="29"/>
      <c r="D525" s="29"/>
      <c r="E525" s="35"/>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row>
    <row r="526">
      <c r="A526" s="29"/>
      <c r="B526" s="29"/>
      <c r="C526" s="29"/>
      <c r="D526" s="29"/>
      <c r="E526" s="35"/>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row>
    <row r="527">
      <c r="A527" s="29"/>
      <c r="B527" s="29"/>
      <c r="C527" s="29"/>
      <c r="D527" s="29"/>
      <c r="E527" s="35"/>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row>
    <row r="528">
      <c r="A528" s="29"/>
      <c r="B528" s="29"/>
      <c r="C528" s="29"/>
      <c r="D528" s="29"/>
      <c r="E528" s="35"/>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row>
    <row r="529">
      <c r="A529" s="29"/>
      <c r="B529" s="29"/>
      <c r="C529" s="29"/>
      <c r="D529" s="29"/>
      <c r="E529" s="35"/>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row>
    <row r="530">
      <c r="A530" s="29"/>
      <c r="B530" s="29"/>
      <c r="C530" s="29"/>
      <c r="D530" s="29"/>
      <c r="E530" s="35"/>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row>
    <row r="531">
      <c r="A531" s="29"/>
      <c r="B531" s="29"/>
      <c r="C531" s="29"/>
      <c r="D531" s="29"/>
      <c r="E531" s="35"/>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row>
    <row r="532">
      <c r="A532" s="29"/>
      <c r="B532" s="29"/>
      <c r="C532" s="29"/>
      <c r="D532" s="29"/>
      <c r="E532" s="35"/>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row>
    <row r="533">
      <c r="A533" s="29"/>
      <c r="B533" s="29"/>
      <c r="C533" s="29"/>
      <c r="D533" s="29"/>
      <c r="E533" s="35"/>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row>
    <row r="534">
      <c r="A534" s="29"/>
      <c r="B534" s="29"/>
      <c r="C534" s="29"/>
      <c r="D534" s="29"/>
      <c r="E534" s="35"/>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row>
    <row r="535">
      <c r="A535" s="29"/>
      <c r="B535" s="29"/>
      <c r="C535" s="29"/>
      <c r="D535" s="29"/>
      <c r="E535" s="35"/>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row>
    <row r="536">
      <c r="A536" s="29"/>
      <c r="B536" s="29"/>
      <c r="C536" s="29"/>
      <c r="D536" s="29"/>
      <c r="E536" s="35"/>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row>
    <row r="537">
      <c r="A537" s="29"/>
      <c r="B537" s="29"/>
      <c r="C537" s="29"/>
      <c r="D537" s="29"/>
      <c r="E537" s="35"/>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row>
    <row r="538">
      <c r="A538" s="29"/>
      <c r="B538" s="29"/>
      <c r="C538" s="29"/>
      <c r="D538" s="29"/>
      <c r="E538" s="35"/>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row>
    <row r="539">
      <c r="A539" s="29"/>
      <c r="B539" s="29"/>
      <c r="C539" s="29"/>
      <c r="D539" s="29"/>
      <c r="E539" s="35"/>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row>
    <row r="540">
      <c r="A540" s="29"/>
      <c r="B540" s="29"/>
      <c r="C540" s="29"/>
      <c r="D540" s="29"/>
      <c r="E540" s="35"/>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row>
    <row r="541">
      <c r="A541" s="29"/>
      <c r="B541" s="29"/>
      <c r="C541" s="29"/>
      <c r="D541" s="29"/>
      <c r="E541" s="35"/>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row>
    <row r="542">
      <c r="A542" s="29"/>
      <c r="B542" s="29"/>
      <c r="C542" s="29"/>
      <c r="D542" s="29"/>
      <c r="E542" s="35"/>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row>
    <row r="543">
      <c r="A543" s="29"/>
      <c r="B543" s="29"/>
      <c r="C543" s="29"/>
      <c r="D543" s="29"/>
      <c r="E543" s="35"/>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row>
    <row r="544">
      <c r="A544" s="29"/>
      <c r="B544" s="29"/>
      <c r="C544" s="29"/>
      <c r="D544" s="29"/>
      <c r="E544" s="35"/>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row>
    <row r="545">
      <c r="A545" s="29"/>
      <c r="B545" s="29"/>
      <c r="C545" s="29"/>
      <c r="D545" s="29"/>
      <c r="E545" s="35"/>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row>
    <row r="546">
      <c r="A546" s="29"/>
      <c r="B546" s="29"/>
      <c r="C546" s="29"/>
      <c r="D546" s="29"/>
      <c r="E546" s="35"/>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row>
    <row r="547">
      <c r="A547" s="29"/>
      <c r="B547" s="29"/>
      <c r="C547" s="29"/>
      <c r="D547" s="29"/>
      <c r="E547" s="35"/>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row>
    <row r="548">
      <c r="A548" s="29"/>
      <c r="B548" s="29"/>
      <c r="C548" s="29"/>
      <c r="D548" s="29"/>
      <c r="E548" s="35"/>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row>
    <row r="549">
      <c r="A549" s="29"/>
      <c r="B549" s="29"/>
      <c r="C549" s="29"/>
      <c r="D549" s="29"/>
      <c r="E549" s="35"/>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row>
    <row r="550">
      <c r="A550" s="29"/>
      <c r="B550" s="29"/>
      <c r="C550" s="29"/>
      <c r="D550" s="29"/>
      <c r="E550" s="35"/>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row>
    <row r="551">
      <c r="A551" s="29"/>
      <c r="B551" s="29"/>
      <c r="C551" s="29"/>
      <c r="D551" s="29"/>
      <c r="E551" s="35"/>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row>
    <row r="552">
      <c r="A552" s="29"/>
      <c r="B552" s="29"/>
      <c r="C552" s="29"/>
      <c r="D552" s="29"/>
      <c r="E552" s="35"/>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row>
    <row r="553">
      <c r="A553" s="29"/>
      <c r="B553" s="29"/>
      <c r="C553" s="29"/>
      <c r="D553" s="29"/>
      <c r="E553" s="35"/>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row>
    <row r="554">
      <c r="A554" s="29"/>
      <c r="B554" s="29"/>
      <c r="C554" s="29"/>
      <c r="D554" s="29"/>
      <c r="E554" s="35"/>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row>
    <row r="555">
      <c r="A555" s="29"/>
      <c r="B555" s="29"/>
      <c r="C555" s="29"/>
      <c r="D555" s="29"/>
      <c r="E555" s="35"/>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row>
    <row r="556">
      <c r="A556" s="29"/>
      <c r="B556" s="29"/>
      <c r="C556" s="29"/>
      <c r="D556" s="29"/>
      <c r="E556" s="35"/>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row>
    <row r="557">
      <c r="A557" s="29"/>
      <c r="B557" s="29"/>
      <c r="C557" s="29"/>
      <c r="D557" s="29"/>
      <c r="E557" s="35"/>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row>
    <row r="558">
      <c r="A558" s="29"/>
      <c r="B558" s="29"/>
      <c r="C558" s="29"/>
      <c r="D558" s="29"/>
      <c r="E558" s="35"/>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row>
    <row r="559">
      <c r="A559" s="29"/>
      <c r="B559" s="29"/>
      <c r="C559" s="29"/>
      <c r="D559" s="29"/>
      <c r="E559" s="35"/>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row>
    <row r="560">
      <c r="A560" s="29"/>
      <c r="B560" s="29"/>
      <c r="C560" s="29"/>
      <c r="D560" s="29"/>
      <c r="E560" s="35"/>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row>
    <row r="561">
      <c r="A561" s="29"/>
      <c r="B561" s="29"/>
      <c r="C561" s="29"/>
      <c r="D561" s="29"/>
      <c r="E561" s="35"/>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row>
    <row r="562">
      <c r="A562" s="29"/>
      <c r="B562" s="29"/>
      <c r="C562" s="29"/>
      <c r="D562" s="29"/>
      <c r="E562" s="35"/>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row>
    <row r="563">
      <c r="A563" s="29"/>
      <c r="B563" s="29"/>
      <c r="C563" s="29"/>
      <c r="D563" s="29"/>
      <c r="E563" s="35"/>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row>
    <row r="564">
      <c r="A564" s="29"/>
      <c r="B564" s="29"/>
      <c r="C564" s="29"/>
      <c r="D564" s="29"/>
      <c r="E564" s="35"/>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row>
    <row r="565">
      <c r="A565" s="29"/>
      <c r="B565" s="29"/>
      <c r="C565" s="29"/>
      <c r="D565" s="29"/>
      <c r="E565" s="35"/>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row>
    <row r="566">
      <c r="A566" s="29"/>
      <c r="B566" s="29"/>
      <c r="C566" s="29"/>
      <c r="D566" s="29"/>
      <c r="E566" s="35"/>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row>
    <row r="567">
      <c r="A567" s="29"/>
      <c r="B567" s="29"/>
      <c r="C567" s="29"/>
      <c r="D567" s="29"/>
      <c r="E567" s="35"/>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row>
    <row r="568">
      <c r="A568" s="29"/>
      <c r="B568" s="29"/>
      <c r="C568" s="29"/>
      <c r="D568" s="29"/>
      <c r="E568" s="35"/>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row>
    <row r="569">
      <c r="A569" s="29"/>
      <c r="B569" s="29"/>
      <c r="C569" s="29"/>
      <c r="D569" s="29"/>
      <c r="E569" s="35"/>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row>
    <row r="570">
      <c r="A570" s="29"/>
      <c r="B570" s="29"/>
      <c r="C570" s="29"/>
      <c r="D570" s="29"/>
      <c r="E570" s="35"/>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row>
    <row r="571">
      <c r="A571" s="29"/>
      <c r="B571" s="29"/>
      <c r="C571" s="29"/>
      <c r="D571" s="29"/>
      <c r="E571" s="35"/>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row>
    <row r="572">
      <c r="A572" s="29"/>
      <c r="B572" s="29"/>
      <c r="C572" s="29"/>
      <c r="D572" s="29"/>
      <c r="E572" s="35"/>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row>
    <row r="573">
      <c r="A573" s="29"/>
      <c r="B573" s="29"/>
      <c r="C573" s="29"/>
      <c r="D573" s="29"/>
      <c r="E573" s="35"/>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row>
    <row r="574">
      <c r="A574" s="29"/>
      <c r="B574" s="29"/>
      <c r="C574" s="29"/>
      <c r="D574" s="29"/>
      <c r="E574" s="35"/>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row>
    <row r="575">
      <c r="A575" s="29"/>
      <c r="B575" s="29"/>
      <c r="C575" s="29"/>
      <c r="D575" s="29"/>
      <c r="E575" s="35"/>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row>
    <row r="576">
      <c r="A576" s="29"/>
      <c r="B576" s="29"/>
      <c r="C576" s="29"/>
      <c r="D576" s="29"/>
      <c r="E576" s="35"/>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row>
    <row r="577">
      <c r="A577" s="29"/>
      <c r="B577" s="29"/>
      <c r="C577" s="29"/>
      <c r="D577" s="29"/>
      <c r="E577" s="35"/>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row>
    <row r="578">
      <c r="A578" s="29"/>
      <c r="B578" s="29"/>
      <c r="C578" s="29"/>
      <c r="D578" s="29"/>
      <c r="E578" s="35"/>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row>
    <row r="579">
      <c r="A579" s="29"/>
      <c r="B579" s="29"/>
      <c r="C579" s="29"/>
      <c r="D579" s="29"/>
      <c r="E579" s="35"/>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row>
    <row r="580">
      <c r="A580" s="29"/>
      <c r="B580" s="29"/>
      <c r="C580" s="29"/>
      <c r="D580" s="29"/>
      <c r="E580" s="35"/>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row>
    <row r="581">
      <c r="A581" s="29"/>
      <c r="B581" s="29"/>
      <c r="C581" s="29"/>
      <c r="D581" s="29"/>
      <c r="E581" s="35"/>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row>
    <row r="582">
      <c r="A582" s="29"/>
      <c r="B582" s="29"/>
      <c r="C582" s="29"/>
      <c r="D582" s="29"/>
      <c r="E582" s="35"/>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row>
    <row r="583">
      <c r="A583" s="29"/>
      <c r="B583" s="29"/>
      <c r="C583" s="29"/>
      <c r="D583" s="29"/>
      <c r="E583" s="35"/>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row>
    <row r="584">
      <c r="A584" s="29"/>
      <c r="B584" s="29"/>
      <c r="C584" s="29"/>
      <c r="D584" s="29"/>
      <c r="E584" s="35"/>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row>
    <row r="585">
      <c r="A585" s="29"/>
      <c r="B585" s="29"/>
      <c r="C585" s="29"/>
      <c r="D585" s="29"/>
      <c r="E585" s="35"/>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row>
    <row r="586">
      <c r="A586" s="29"/>
      <c r="B586" s="29"/>
      <c r="C586" s="29"/>
      <c r="D586" s="29"/>
      <c r="E586" s="35"/>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row>
    <row r="587">
      <c r="A587" s="29"/>
      <c r="B587" s="29"/>
      <c r="C587" s="29"/>
      <c r="D587" s="29"/>
      <c r="E587" s="35"/>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row>
    <row r="588">
      <c r="A588" s="29"/>
      <c r="B588" s="29"/>
      <c r="C588" s="29"/>
      <c r="D588" s="29"/>
      <c r="E588" s="35"/>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row>
    <row r="589">
      <c r="A589" s="29"/>
      <c r="B589" s="29"/>
      <c r="C589" s="29"/>
      <c r="D589" s="29"/>
      <c r="E589" s="35"/>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row>
    <row r="590">
      <c r="A590" s="29"/>
      <c r="B590" s="29"/>
      <c r="C590" s="29"/>
      <c r="D590" s="29"/>
      <c r="E590" s="35"/>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row>
    <row r="591">
      <c r="A591" s="29"/>
      <c r="B591" s="29"/>
      <c r="C591" s="29"/>
      <c r="D591" s="29"/>
      <c r="E591" s="35"/>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row>
    <row r="592">
      <c r="A592" s="29"/>
      <c r="B592" s="29"/>
      <c r="C592" s="29"/>
      <c r="D592" s="29"/>
      <c r="E592" s="35"/>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row>
    <row r="593">
      <c r="A593" s="29"/>
      <c r="B593" s="29"/>
      <c r="C593" s="29"/>
      <c r="D593" s="29"/>
      <c r="E593" s="35"/>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row>
    <row r="594">
      <c r="A594" s="29"/>
      <c r="B594" s="29"/>
      <c r="C594" s="29"/>
      <c r="D594" s="29"/>
      <c r="E594" s="35"/>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row>
    <row r="595">
      <c r="A595" s="29"/>
      <c r="B595" s="29"/>
      <c r="C595" s="29"/>
      <c r="D595" s="29"/>
      <c r="E595" s="35"/>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row>
    <row r="596">
      <c r="A596" s="29"/>
      <c r="B596" s="29"/>
      <c r="C596" s="29"/>
      <c r="D596" s="29"/>
      <c r="E596" s="35"/>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row>
    <row r="597">
      <c r="A597" s="29"/>
      <c r="B597" s="29"/>
      <c r="C597" s="29"/>
      <c r="D597" s="29"/>
      <c r="E597" s="35"/>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row>
    <row r="598">
      <c r="A598" s="29"/>
      <c r="B598" s="29"/>
      <c r="C598" s="29"/>
      <c r="D598" s="29"/>
      <c r="E598" s="35"/>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row>
    <row r="599">
      <c r="A599" s="29"/>
      <c r="B599" s="29"/>
      <c r="C599" s="29"/>
      <c r="D599" s="29"/>
      <c r="E599" s="35"/>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row>
    <row r="600">
      <c r="A600" s="29"/>
      <c r="B600" s="29"/>
      <c r="C600" s="29"/>
      <c r="D600" s="29"/>
      <c r="E600" s="35"/>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row>
    <row r="601">
      <c r="A601" s="29"/>
      <c r="B601" s="29"/>
      <c r="C601" s="29"/>
      <c r="D601" s="29"/>
      <c r="E601" s="35"/>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row>
    <row r="602">
      <c r="A602" s="29"/>
      <c r="B602" s="29"/>
      <c r="C602" s="29"/>
      <c r="D602" s="29"/>
      <c r="E602" s="35"/>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row>
    <row r="603">
      <c r="A603" s="29"/>
      <c r="B603" s="29"/>
      <c r="C603" s="29"/>
      <c r="D603" s="29"/>
      <c r="E603" s="35"/>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row>
    <row r="604">
      <c r="A604" s="29"/>
      <c r="B604" s="29"/>
      <c r="C604" s="29"/>
      <c r="D604" s="29"/>
      <c r="E604" s="35"/>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row>
    <row r="605">
      <c r="A605" s="29"/>
      <c r="B605" s="29"/>
      <c r="C605" s="29"/>
      <c r="D605" s="29"/>
      <c r="E605" s="35"/>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row>
    <row r="606">
      <c r="A606" s="29"/>
      <c r="B606" s="29"/>
      <c r="C606" s="29"/>
      <c r="D606" s="29"/>
      <c r="E606" s="35"/>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row>
    <row r="607">
      <c r="A607" s="29"/>
      <c r="B607" s="29"/>
      <c r="C607" s="29"/>
      <c r="D607" s="29"/>
      <c r="E607" s="35"/>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row>
    <row r="608">
      <c r="A608" s="29"/>
      <c r="B608" s="29"/>
      <c r="C608" s="29"/>
      <c r="D608" s="29"/>
      <c r="E608" s="35"/>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row>
    <row r="609">
      <c r="A609" s="29"/>
      <c r="B609" s="29"/>
      <c r="C609" s="29"/>
      <c r="D609" s="29"/>
      <c r="E609" s="35"/>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row>
    <row r="610">
      <c r="A610" s="29"/>
      <c r="B610" s="29"/>
      <c r="C610" s="29"/>
      <c r="D610" s="29"/>
      <c r="E610" s="35"/>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row>
    <row r="611">
      <c r="A611" s="29"/>
      <c r="B611" s="29"/>
      <c r="C611" s="29"/>
      <c r="D611" s="29"/>
      <c r="E611" s="35"/>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row>
    <row r="612">
      <c r="A612" s="29"/>
      <c r="B612" s="29"/>
      <c r="C612" s="29"/>
      <c r="D612" s="29"/>
      <c r="E612" s="35"/>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row>
    <row r="613">
      <c r="A613" s="29"/>
      <c r="B613" s="29"/>
      <c r="C613" s="29"/>
      <c r="D613" s="29"/>
      <c r="E613" s="35"/>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row>
    <row r="614">
      <c r="A614" s="29"/>
      <c r="B614" s="29"/>
      <c r="C614" s="29"/>
      <c r="D614" s="29"/>
      <c r="E614" s="35"/>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row>
    <row r="615">
      <c r="A615" s="29"/>
      <c r="B615" s="29"/>
      <c r="C615" s="29"/>
      <c r="D615" s="29"/>
      <c r="E615" s="35"/>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row>
    <row r="616">
      <c r="A616" s="29"/>
      <c r="B616" s="29"/>
      <c r="C616" s="29"/>
      <c r="D616" s="29"/>
      <c r="E616" s="35"/>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row>
    <row r="617">
      <c r="A617" s="29"/>
      <c r="B617" s="29"/>
      <c r="C617" s="29"/>
      <c r="D617" s="29"/>
      <c r="E617" s="35"/>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row>
    <row r="618">
      <c r="A618" s="29"/>
      <c r="B618" s="29"/>
      <c r="C618" s="29"/>
      <c r="D618" s="29"/>
      <c r="E618" s="35"/>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row>
    <row r="619">
      <c r="A619" s="29"/>
      <c r="B619" s="29"/>
      <c r="C619" s="29"/>
      <c r="D619" s="29"/>
      <c r="E619" s="35"/>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row>
    <row r="620">
      <c r="A620" s="29"/>
      <c r="B620" s="29"/>
      <c r="C620" s="29"/>
      <c r="D620" s="29"/>
      <c r="E620" s="35"/>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row>
    <row r="621">
      <c r="A621" s="29"/>
      <c r="B621" s="29"/>
      <c r="C621" s="29"/>
      <c r="D621" s="29"/>
      <c r="E621" s="35"/>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row>
    <row r="622">
      <c r="A622" s="29"/>
      <c r="B622" s="29"/>
      <c r="C622" s="29"/>
      <c r="D622" s="29"/>
      <c r="E622" s="35"/>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row>
    <row r="623">
      <c r="A623" s="29"/>
      <c r="B623" s="29"/>
      <c r="C623" s="29"/>
      <c r="D623" s="29"/>
      <c r="E623" s="35"/>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row>
    <row r="624">
      <c r="A624" s="29"/>
      <c r="B624" s="29"/>
      <c r="C624" s="29"/>
      <c r="D624" s="29"/>
      <c r="E624" s="35"/>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row>
    <row r="625">
      <c r="A625" s="29"/>
      <c r="B625" s="29"/>
      <c r="C625" s="29"/>
      <c r="D625" s="29"/>
      <c r="E625" s="35"/>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row>
    <row r="626">
      <c r="A626" s="29"/>
      <c r="B626" s="29"/>
      <c r="C626" s="29"/>
      <c r="D626" s="29"/>
      <c r="E626" s="35"/>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row>
    <row r="627">
      <c r="A627" s="29"/>
      <c r="B627" s="29"/>
      <c r="C627" s="29"/>
      <c r="D627" s="29"/>
      <c r="E627" s="35"/>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row>
    <row r="628">
      <c r="A628" s="29"/>
      <c r="B628" s="29"/>
      <c r="C628" s="29"/>
      <c r="D628" s="29"/>
      <c r="E628" s="35"/>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row>
    <row r="629">
      <c r="A629" s="29"/>
      <c r="B629" s="29"/>
      <c r="C629" s="29"/>
      <c r="D629" s="29"/>
      <c r="E629" s="35"/>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row>
    <row r="630">
      <c r="A630" s="29"/>
      <c r="B630" s="29"/>
      <c r="C630" s="29"/>
      <c r="D630" s="29"/>
      <c r="E630" s="35"/>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row>
    <row r="631">
      <c r="A631" s="29"/>
      <c r="B631" s="29"/>
      <c r="C631" s="29"/>
      <c r="D631" s="29"/>
      <c r="E631" s="35"/>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row>
    <row r="632">
      <c r="A632" s="29"/>
      <c r="B632" s="29"/>
      <c r="C632" s="29"/>
      <c r="D632" s="29"/>
      <c r="E632" s="35"/>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row>
    <row r="633">
      <c r="A633" s="29"/>
      <c r="B633" s="29"/>
      <c r="C633" s="29"/>
      <c r="D633" s="29"/>
      <c r="E633" s="35"/>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row>
    <row r="634">
      <c r="A634" s="29"/>
      <c r="B634" s="29"/>
      <c r="C634" s="29"/>
      <c r="D634" s="29"/>
      <c r="E634" s="35"/>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row>
    <row r="635">
      <c r="A635" s="29"/>
      <c r="B635" s="29"/>
      <c r="C635" s="29"/>
      <c r="D635" s="29"/>
      <c r="E635" s="35"/>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row>
    <row r="636">
      <c r="A636" s="29"/>
      <c r="B636" s="29"/>
      <c r="C636" s="29"/>
      <c r="D636" s="29"/>
      <c r="E636" s="35"/>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row>
    <row r="637">
      <c r="A637" s="29"/>
      <c r="B637" s="29"/>
      <c r="C637" s="29"/>
      <c r="D637" s="29"/>
      <c r="E637" s="35"/>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row>
    <row r="638">
      <c r="A638" s="29"/>
      <c r="B638" s="29"/>
      <c r="C638" s="29"/>
      <c r="D638" s="29"/>
      <c r="E638" s="35"/>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row>
    <row r="639">
      <c r="A639" s="29"/>
      <c r="B639" s="29"/>
      <c r="C639" s="29"/>
      <c r="D639" s="29"/>
      <c r="E639" s="35"/>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row>
    <row r="640">
      <c r="A640" s="29"/>
      <c r="B640" s="29"/>
      <c r="C640" s="29"/>
      <c r="D640" s="29"/>
      <c r="E640" s="35"/>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row>
    <row r="641">
      <c r="A641" s="29"/>
      <c r="B641" s="29"/>
      <c r="C641" s="29"/>
      <c r="D641" s="29"/>
      <c r="E641" s="35"/>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row>
    <row r="642">
      <c r="A642" s="29"/>
      <c r="B642" s="29"/>
      <c r="C642" s="29"/>
      <c r="D642" s="29"/>
      <c r="E642" s="35"/>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row>
    <row r="643">
      <c r="A643" s="29"/>
      <c r="B643" s="29"/>
      <c r="C643" s="29"/>
      <c r="D643" s="29"/>
      <c r="E643" s="35"/>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row>
    <row r="644">
      <c r="A644" s="29"/>
      <c r="B644" s="29"/>
      <c r="C644" s="29"/>
      <c r="D644" s="29"/>
      <c r="E644" s="35"/>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row>
    <row r="645">
      <c r="A645" s="29"/>
      <c r="B645" s="29"/>
      <c r="C645" s="29"/>
      <c r="D645" s="29"/>
      <c r="E645" s="35"/>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row>
    <row r="646">
      <c r="A646" s="29"/>
      <c r="B646" s="29"/>
      <c r="C646" s="29"/>
      <c r="D646" s="29"/>
      <c r="E646" s="35"/>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row>
    <row r="647">
      <c r="A647" s="29"/>
      <c r="B647" s="29"/>
      <c r="C647" s="29"/>
      <c r="D647" s="29"/>
      <c r="E647" s="35"/>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row>
    <row r="648">
      <c r="A648" s="29"/>
      <c r="B648" s="29"/>
      <c r="C648" s="29"/>
      <c r="D648" s="29"/>
      <c r="E648" s="35"/>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row>
    <row r="649">
      <c r="A649" s="29"/>
      <c r="B649" s="29"/>
      <c r="C649" s="29"/>
      <c r="D649" s="29"/>
      <c r="E649" s="35"/>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row>
    <row r="650">
      <c r="A650" s="29"/>
      <c r="B650" s="29"/>
      <c r="C650" s="29"/>
      <c r="D650" s="29"/>
      <c r="E650" s="35"/>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row>
    <row r="651">
      <c r="A651" s="29"/>
      <c r="B651" s="29"/>
      <c r="C651" s="29"/>
      <c r="D651" s="29"/>
      <c r="E651" s="35"/>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row>
    <row r="652">
      <c r="A652" s="29"/>
      <c r="B652" s="29"/>
      <c r="C652" s="29"/>
      <c r="D652" s="29"/>
      <c r="E652" s="35"/>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row>
    <row r="653">
      <c r="A653" s="29"/>
      <c r="B653" s="29"/>
      <c r="C653" s="29"/>
      <c r="D653" s="29"/>
      <c r="E653" s="35"/>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row>
    <row r="654">
      <c r="A654" s="29"/>
      <c r="B654" s="29"/>
      <c r="C654" s="29"/>
      <c r="D654" s="29"/>
      <c r="E654" s="35"/>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row>
    <row r="655">
      <c r="A655" s="29"/>
      <c r="B655" s="29"/>
      <c r="C655" s="29"/>
      <c r="D655" s="29"/>
      <c r="E655" s="35"/>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row>
    <row r="656">
      <c r="A656" s="29"/>
      <c r="B656" s="29"/>
      <c r="C656" s="29"/>
      <c r="D656" s="29"/>
      <c r="E656" s="35"/>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row>
    <row r="657">
      <c r="A657" s="29"/>
      <c r="B657" s="29"/>
      <c r="C657" s="29"/>
      <c r="D657" s="29"/>
      <c r="E657" s="35"/>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row>
    <row r="658">
      <c r="A658" s="29"/>
      <c r="B658" s="29"/>
      <c r="C658" s="29"/>
      <c r="D658" s="29"/>
      <c r="E658" s="35"/>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row>
    <row r="659">
      <c r="A659" s="29"/>
      <c r="B659" s="29"/>
      <c r="C659" s="29"/>
      <c r="D659" s="29"/>
      <c r="E659" s="35"/>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row>
    <row r="660">
      <c r="A660" s="29"/>
      <c r="B660" s="29"/>
      <c r="C660" s="29"/>
      <c r="D660" s="29"/>
      <c r="E660" s="35"/>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row>
    <row r="661">
      <c r="A661" s="29"/>
      <c r="B661" s="29"/>
      <c r="C661" s="29"/>
      <c r="D661" s="29"/>
      <c r="E661" s="35"/>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row>
    <row r="662">
      <c r="A662" s="29"/>
      <c r="B662" s="29"/>
      <c r="C662" s="29"/>
      <c r="D662" s="29"/>
      <c r="E662" s="35"/>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row>
    <row r="663">
      <c r="A663" s="29"/>
      <c r="B663" s="29"/>
      <c r="C663" s="29"/>
      <c r="D663" s="29"/>
      <c r="E663" s="35"/>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row>
    <row r="664">
      <c r="A664" s="29"/>
      <c r="B664" s="29"/>
      <c r="C664" s="29"/>
      <c r="D664" s="29"/>
      <c r="E664" s="35"/>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row>
    <row r="665">
      <c r="A665" s="29"/>
      <c r="B665" s="29"/>
      <c r="C665" s="29"/>
      <c r="D665" s="29"/>
      <c r="E665" s="35"/>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row>
    <row r="666">
      <c r="A666" s="29"/>
      <c r="B666" s="29"/>
      <c r="C666" s="29"/>
      <c r="D666" s="29"/>
      <c r="E666" s="35"/>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row>
    <row r="667">
      <c r="A667" s="29"/>
      <c r="B667" s="29"/>
      <c r="C667" s="29"/>
      <c r="D667" s="29"/>
      <c r="E667" s="35"/>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row>
    <row r="668">
      <c r="A668" s="29"/>
      <c r="B668" s="29"/>
      <c r="C668" s="29"/>
      <c r="D668" s="29"/>
      <c r="E668" s="35"/>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row>
    <row r="669">
      <c r="A669" s="29"/>
      <c r="B669" s="29"/>
      <c r="C669" s="29"/>
      <c r="D669" s="29"/>
      <c r="E669" s="35"/>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row>
    <row r="670">
      <c r="A670" s="29"/>
      <c r="B670" s="29"/>
      <c r="C670" s="29"/>
      <c r="D670" s="29"/>
      <c r="E670" s="35"/>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row>
    <row r="671">
      <c r="A671" s="29"/>
      <c r="B671" s="29"/>
      <c r="C671" s="29"/>
      <c r="D671" s="29"/>
      <c r="E671" s="35"/>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row>
    <row r="672">
      <c r="A672" s="29"/>
      <c r="B672" s="29"/>
      <c r="C672" s="29"/>
      <c r="D672" s="29"/>
      <c r="E672" s="35"/>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row>
    <row r="673">
      <c r="A673" s="29"/>
      <c r="B673" s="29"/>
      <c r="C673" s="29"/>
      <c r="D673" s="29"/>
      <c r="E673" s="35"/>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row>
    <row r="674">
      <c r="A674" s="29"/>
      <c r="B674" s="29"/>
      <c r="C674" s="29"/>
      <c r="D674" s="29"/>
      <c r="E674" s="35"/>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row>
    <row r="675">
      <c r="A675" s="29"/>
      <c r="B675" s="29"/>
      <c r="C675" s="29"/>
      <c r="D675" s="29"/>
      <c r="E675" s="35"/>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row>
    <row r="676">
      <c r="A676" s="29"/>
      <c r="B676" s="29"/>
      <c r="C676" s="29"/>
      <c r="D676" s="29"/>
      <c r="E676" s="35"/>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row>
    <row r="677">
      <c r="A677" s="29"/>
      <c r="B677" s="29"/>
      <c r="C677" s="29"/>
      <c r="D677" s="29"/>
      <c r="E677" s="35"/>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row>
    <row r="678">
      <c r="A678" s="29"/>
      <c r="B678" s="29"/>
      <c r="C678" s="29"/>
      <c r="D678" s="29"/>
      <c r="E678" s="35"/>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row>
    <row r="679">
      <c r="A679" s="29"/>
      <c r="B679" s="29"/>
      <c r="C679" s="29"/>
      <c r="D679" s="29"/>
      <c r="E679" s="35"/>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row>
    <row r="680">
      <c r="A680" s="29"/>
      <c r="B680" s="29"/>
      <c r="C680" s="29"/>
      <c r="D680" s="29"/>
      <c r="E680" s="35"/>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row>
    <row r="681">
      <c r="A681" s="29"/>
      <c r="B681" s="29"/>
      <c r="C681" s="29"/>
      <c r="D681" s="29"/>
      <c r="E681" s="35"/>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row>
    <row r="682">
      <c r="A682" s="29"/>
      <c r="B682" s="29"/>
      <c r="C682" s="29"/>
      <c r="D682" s="29"/>
      <c r="E682" s="35"/>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row>
    <row r="683">
      <c r="A683" s="29"/>
      <c r="B683" s="29"/>
      <c r="C683" s="29"/>
      <c r="D683" s="29"/>
      <c r="E683" s="35"/>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row>
    <row r="684">
      <c r="A684" s="29"/>
      <c r="B684" s="29"/>
      <c r="C684" s="29"/>
      <c r="D684" s="29"/>
      <c r="E684" s="35"/>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row>
    <row r="685">
      <c r="A685" s="29"/>
      <c r="B685" s="29"/>
      <c r="C685" s="29"/>
      <c r="D685" s="29"/>
      <c r="E685" s="35"/>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row>
    <row r="686">
      <c r="A686" s="29"/>
      <c r="B686" s="29"/>
      <c r="C686" s="29"/>
      <c r="D686" s="29"/>
      <c r="E686" s="35"/>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row>
    <row r="687">
      <c r="A687" s="29"/>
      <c r="B687" s="29"/>
      <c r="C687" s="29"/>
      <c r="D687" s="29"/>
      <c r="E687" s="35"/>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row>
    <row r="688">
      <c r="A688" s="29"/>
      <c r="B688" s="29"/>
      <c r="C688" s="29"/>
      <c r="D688" s="29"/>
      <c r="E688" s="35"/>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row>
    <row r="689">
      <c r="A689" s="29"/>
      <c r="B689" s="29"/>
      <c r="C689" s="29"/>
      <c r="D689" s="29"/>
      <c r="E689" s="35"/>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row>
    <row r="690">
      <c r="A690" s="29"/>
      <c r="B690" s="29"/>
      <c r="C690" s="29"/>
      <c r="D690" s="29"/>
      <c r="E690" s="35"/>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row>
    <row r="691">
      <c r="A691" s="29"/>
      <c r="B691" s="29"/>
      <c r="C691" s="29"/>
      <c r="D691" s="29"/>
      <c r="E691" s="35"/>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row>
    <row r="692">
      <c r="A692" s="29"/>
      <c r="B692" s="29"/>
      <c r="C692" s="29"/>
      <c r="D692" s="29"/>
      <c r="E692" s="35"/>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row>
    <row r="693">
      <c r="A693" s="29"/>
      <c r="B693" s="29"/>
      <c r="C693" s="29"/>
      <c r="D693" s="29"/>
      <c r="E693" s="35"/>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row>
    <row r="694">
      <c r="A694" s="29"/>
      <c r="B694" s="29"/>
      <c r="C694" s="29"/>
      <c r="D694" s="29"/>
      <c r="E694" s="35"/>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row>
    <row r="695">
      <c r="A695" s="29"/>
      <c r="B695" s="29"/>
      <c r="C695" s="29"/>
      <c r="D695" s="29"/>
      <c r="E695" s="35"/>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row>
    <row r="696">
      <c r="A696" s="29"/>
      <c r="B696" s="29"/>
      <c r="C696" s="29"/>
      <c r="D696" s="29"/>
      <c r="E696" s="35"/>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row>
    <row r="697">
      <c r="A697" s="29"/>
      <c r="B697" s="29"/>
      <c r="C697" s="29"/>
      <c r="D697" s="29"/>
      <c r="E697" s="35"/>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row>
    <row r="698">
      <c r="A698" s="29"/>
      <c r="B698" s="29"/>
      <c r="C698" s="29"/>
      <c r="D698" s="29"/>
      <c r="E698" s="35"/>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row>
    <row r="699">
      <c r="A699" s="29"/>
      <c r="B699" s="29"/>
      <c r="C699" s="29"/>
      <c r="D699" s="29"/>
      <c r="E699" s="35"/>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row>
    <row r="700">
      <c r="A700" s="29"/>
      <c r="B700" s="29"/>
      <c r="C700" s="29"/>
      <c r="D700" s="29"/>
      <c r="E700" s="35"/>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row>
    <row r="701">
      <c r="A701" s="29"/>
      <c r="B701" s="29"/>
      <c r="C701" s="29"/>
      <c r="D701" s="29"/>
      <c r="E701" s="35"/>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row>
    <row r="702">
      <c r="A702" s="29"/>
      <c r="B702" s="29"/>
      <c r="C702" s="29"/>
      <c r="D702" s="29"/>
      <c r="E702" s="35"/>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row>
    <row r="703">
      <c r="A703" s="29"/>
      <c r="B703" s="29"/>
      <c r="C703" s="29"/>
      <c r="D703" s="29"/>
      <c r="E703" s="35"/>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row>
    <row r="704">
      <c r="A704" s="29"/>
      <c r="B704" s="29"/>
      <c r="C704" s="29"/>
      <c r="D704" s="29"/>
      <c r="E704" s="35"/>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row>
    <row r="705">
      <c r="A705" s="29"/>
      <c r="B705" s="29"/>
      <c r="C705" s="29"/>
      <c r="D705" s="29"/>
      <c r="E705" s="35"/>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row>
    <row r="706">
      <c r="A706" s="29"/>
      <c r="B706" s="29"/>
      <c r="C706" s="29"/>
      <c r="D706" s="29"/>
      <c r="E706" s="35"/>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row>
    <row r="707">
      <c r="A707" s="29"/>
      <c r="B707" s="29"/>
      <c r="C707" s="29"/>
      <c r="D707" s="29"/>
      <c r="E707" s="35"/>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row>
    <row r="708">
      <c r="A708" s="29"/>
      <c r="B708" s="29"/>
      <c r="C708" s="29"/>
      <c r="D708" s="29"/>
      <c r="E708" s="35"/>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row>
    <row r="709">
      <c r="A709" s="29"/>
      <c r="B709" s="29"/>
      <c r="C709" s="29"/>
      <c r="D709" s="29"/>
      <c r="E709" s="35"/>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row>
    <row r="710">
      <c r="A710" s="29"/>
      <c r="B710" s="29"/>
      <c r="C710" s="29"/>
      <c r="D710" s="29"/>
      <c r="E710" s="35"/>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row>
    <row r="711">
      <c r="A711" s="29"/>
      <c r="B711" s="29"/>
      <c r="C711" s="29"/>
      <c r="D711" s="29"/>
      <c r="E711" s="35"/>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row>
    <row r="712">
      <c r="A712" s="29"/>
      <c r="B712" s="29"/>
      <c r="C712" s="29"/>
      <c r="D712" s="29"/>
      <c r="E712" s="35"/>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row>
    <row r="713">
      <c r="A713" s="29"/>
      <c r="B713" s="29"/>
      <c r="C713" s="29"/>
      <c r="D713" s="29"/>
      <c r="E713" s="35"/>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row>
    <row r="714">
      <c r="A714" s="29"/>
      <c r="B714" s="29"/>
      <c r="C714" s="29"/>
      <c r="D714" s="29"/>
      <c r="E714" s="35"/>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row>
    <row r="715">
      <c r="A715" s="29"/>
      <c r="B715" s="29"/>
      <c r="C715" s="29"/>
      <c r="D715" s="29"/>
      <c r="E715" s="35"/>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row>
    <row r="716">
      <c r="A716" s="29"/>
      <c r="B716" s="29"/>
      <c r="C716" s="29"/>
      <c r="D716" s="29"/>
      <c r="E716" s="35"/>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row>
    <row r="717">
      <c r="A717" s="29"/>
      <c r="B717" s="29"/>
      <c r="C717" s="29"/>
      <c r="D717" s="29"/>
      <c r="E717" s="35"/>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row>
    <row r="718">
      <c r="A718" s="29"/>
      <c r="B718" s="29"/>
      <c r="C718" s="29"/>
      <c r="D718" s="29"/>
      <c r="E718" s="35"/>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row>
    <row r="719">
      <c r="A719" s="29"/>
      <c r="B719" s="29"/>
      <c r="C719" s="29"/>
      <c r="D719" s="29"/>
      <c r="E719" s="35"/>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row>
    <row r="720">
      <c r="A720" s="29"/>
      <c r="B720" s="29"/>
      <c r="C720" s="29"/>
      <c r="D720" s="29"/>
      <c r="E720" s="35"/>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row>
    <row r="721">
      <c r="A721" s="29"/>
      <c r="B721" s="29"/>
      <c r="C721" s="29"/>
      <c r="D721" s="29"/>
      <c r="E721" s="35"/>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row>
    <row r="722">
      <c r="A722" s="29"/>
      <c r="B722" s="29"/>
      <c r="C722" s="29"/>
      <c r="D722" s="29"/>
      <c r="E722" s="35"/>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row>
    <row r="723">
      <c r="A723" s="29"/>
      <c r="B723" s="29"/>
      <c r="C723" s="29"/>
      <c r="D723" s="29"/>
      <c r="E723" s="35"/>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row>
    <row r="724">
      <c r="A724" s="29"/>
      <c r="B724" s="29"/>
      <c r="C724" s="29"/>
      <c r="D724" s="29"/>
      <c r="E724" s="35"/>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row>
    <row r="725">
      <c r="A725" s="29"/>
      <c r="B725" s="29"/>
      <c r="C725" s="29"/>
      <c r="D725" s="29"/>
      <c r="E725" s="35"/>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row>
    <row r="726">
      <c r="A726" s="29"/>
      <c r="B726" s="29"/>
      <c r="C726" s="29"/>
      <c r="D726" s="29"/>
      <c r="E726" s="35"/>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row>
    <row r="727">
      <c r="A727" s="29"/>
      <c r="B727" s="29"/>
      <c r="C727" s="29"/>
      <c r="D727" s="29"/>
      <c r="E727" s="35"/>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row>
    <row r="728">
      <c r="A728" s="29"/>
      <c r="B728" s="29"/>
      <c r="C728" s="29"/>
      <c r="D728" s="29"/>
      <c r="E728" s="35"/>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row>
    <row r="729">
      <c r="A729" s="29"/>
      <c r="B729" s="29"/>
      <c r="C729" s="29"/>
      <c r="D729" s="29"/>
      <c r="E729" s="35"/>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row>
    <row r="730">
      <c r="A730" s="29"/>
      <c r="B730" s="29"/>
      <c r="C730" s="29"/>
      <c r="D730" s="29"/>
      <c r="E730" s="35"/>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row>
    <row r="731">
      <c r="A731" s="29"/>
      <c r="B731" s="29"/>
      <c r="C731" s="29"/>
      <c r="D731" s="29"/>
      <c r="E731" s="35"/>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row>
    <row r="732">
      <c r="A732" s="29"/>
      <c r="B732" s="29"/>
      <c r="C732" s="29"/>
      <c r="D732" s="29"/>
      <c r="E732" s="35"/>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row>
    <row r="733">
      <c r="A733" s="29"/>
      <c r="B733" s="29"/>
      <c r="C733" s="29"/>
      <c r="D733" s="29"/>
      <c r="E733" s="35"/>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row>
    <row r="734">
      <c r="A734" s="29"/>
      <c r="B734" s="29"/>
      <c r="C734" s="29"/>
      <c r="D734" s="29"/>
      <c r="E734" s="35"/>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row>
    <row r="735">
      <c r="A735" s="29"/>
      <c r="B735" s="29"/>
      <c r="C735" s="29"/>
      <c r="D735" s="29"/>
      <c r="E735" s="35"/>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row>
    <row r="736">
      <c r="A736" s="29"/>
      <c r="B736" s="29"/>
      <c r="C736" s="29"/>
      <c r="D736" s="29"/>
      <c r="E736" s="35"/>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row>
    <row r="737">
      <c r="A737" s="29"/>
      <c r="B737" s="29"/>
      <c r="C737" s="29"/>
      <c r="D737" s="29"/>
      <c r="E737" s="35"/>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row>
    <row r="738">
      <c r="A738" s="29"/>
      <c r="B738" s="29"/>
      <c r="C738" s="29"/>
      <c r="D738" s="29"/>
      <c r="E738" s="35"/>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row>
    <row r="739">
      <c r="A739" s="29"/>
      <c r="B739" s="29"/>
      <c r="C739" s="29"/>
      <c r="D739" s="29"/>
      <c r="E739" s="35"/>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row>
    <row r="740">
      <c r="A740" s="29"/>
      <c r="B740" s="29"/>
      <c r="C740" s="29"/>
      <c r="D740" s="29"/>
      <c r="E740" s="35"/>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row>
    <row r="741">
      <c r="A741" s="29"/>
      <c r="B741" s="29"/>
      <c r="C741" s="29"/>
      <c r="D741" s="29"/>
      <c r="E741" s="35"/>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row>
    <row r="742">
      <c r="A742" s="29"/>
      <c r="B742" s="29"/>
      <c r="C742" s="29"/>
      <c r="D742" s="29"/>
      <c r="E742" s="35"/>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row>
    <row r="743">
      <c r="A743" s="29"/>
      <c r="B743" s="29"/>
      <c r="C743" s="29"/>
      <c r="D743" s="29"/>
      <c r="E743" s="35"/>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row>
    <row r="744">
      <c r="A744" s="29"/>
      <c r="B744" s="29"/>
      <c r="C744" s="29"/>
      <c r="D744" s="29"/>
      <c r="E744" s="35"/>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row>
    <row r="745">
      <c r="A745" s="29"/>
      <c r="B745" s="29"/>
      <c r="C745" s="29"/>
      <c r="D745" s="29"/>
      <c r="E745" s="35"/>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row>
    <row r="746">
      <c r="A746" s="29"/>
      <c r="B746" s="29"/>
      <c r="C746" s="29"/>
      <c r="D746" s="29"/>
      <c r="E746" s="35"/>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row>
    <row r="747">
      <c r="A747" s="29"/>
      <c r="B747" s="29"/>
      <c r="C747" s="29"/>
      <c r="D747" s="29"/>
      <c r="E747" s="35"/>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row>
    <row r="748">
      <c r="A748" s="29"/>
      <c r="B748" s="29"/>
      <c r="C748" s="29"/>
      <c r="D748" s="29"/>
      <c r="E748" s="35"/>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row>
    <row r="749">
      <c r="A749" s="29"/>
      <c r="B749" s="29"/>
      <c r="C749" s="29"/>
      <c r="D749" s="29"/>
      <c r="E749" s="35"/>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row>
    <row r="750">
      <c r="A750" s="29"/>
      <c r="B750" s="29"/>
      <c r="C750" s="29"/>
      <c r="D750" s="29"/>
      <c r="E750" s="35"/>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row>
    <row r="751">
      <c r="A751" s="29"/>
      <c r="B751" s="29"/>
      <c r="C751" s="29"/>
      <c r="D751" s="29"/>
      <c r="E751" s="35"/>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row>
    <row r="752">
      <c r="A752" s="29"/>
      <c r="B752" s="29"/>
      <c r="C752" s="29"/>
      <c r="D752" s="29"/>
      <c r="E752" s="35"/>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row>
    <row r="753">
      <c r="A753" s="29"/>
      <c r="B753" s="29"/>
      <c r="C753" s="29"/>
      <c r="D753" s="29"/>
      <c r="E753" s="35"/>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row>
    <row r="754">
      <c r="A754" s="29"/>
      <c r="B754" s="29"/>
      <c r="C754" s="29"/>
      <c r="D754" s="29"/>
      <c r="E754" s="35"/>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row>
    <row r="755">
      <c r="A755" s="29"/>
      <c r="B755" s="29"/>
      <c r="C755" s="29"/>
      <c r="D755" s="29"/>
      <c r="E755" s="35"/>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row>
    <row r="756">
      <c r="A756" s="29"/>
      <c r="B756" s="29"/>
      <c r="C756" s="29"/>
      <c r="D756" s="29"/>
      <c r="E756" s="35"/>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row>
    <row r="757">
      <c r="A757" s="29"/>
      <c r="B757" s="29"/>
      <c r="C757" s="29"/>
      <c r="D757" s="29"/>
      <c r="E757" s="35"/>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row>
    <row r="758">
      <c r="A758" s="29"/>
      <c r="B758" s="29"/>
      <c r="C758" s="29"/>
      <c r="D758" s="29"/>
      <c r="E758" s="35"/>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row>
    <row r="759">
      <c r="A759" s="29"/>
      <c r="B759" s="29"/>
      <c r="C759" s="29"/>
      <c r="D759" s="29"/>
      <c r="E759" s="35"/>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row>
    <row r="760">
      <c r="A760" s="29"/>
      <c r="B760" s="29"/>
      <c r="C760" s="29"/>
      <c r="D760" s="29"/>
      <c r="E760" s="35"/>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row>
    <row r="761">
      <c r="A761" s="29"/>
      <c r="B761" s="29"/>
      <c r="C761" s="29"/>
      <c r="D761" s="29"/>
      <c r="E761" s="35"/>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row>
    <row r="762">
      <c r="A762" s="29"/>
      <c r="B762" s="29"/>
      <c r="C762" s="29"/>
      <c r="D762" s="29"/>
      <c r="E762" s="35"/>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row>
    <row r="763">
      <c r="A763" s="29"/>
      <c r="B763" s="29"/>
      <c r="C763" s="29"/>
      <c r="D763" s="29"/>
      <c r="E763" s="35"/>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row>
    <row r="764">
      <c r="A764" s="29"/>
      <c r="B764" s="29"/>
      <c r="C764" s="29"/>
      <c r="D764" s="29"/>
      <c r="E764" s="35"/>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row>
    <row r="765">
      <c r="A765" s="29"/>
      <c r="B765" s="29"/>
      <c r="C765" s="29"/>
      <c r="D765" s="29"/>
      <c r="E765" s="35"/>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row>
    <row r="766">
      <c r="A766" s="29"/>
      <c r="B766" s="29"/>
      <c r="C766" s="29"/>
      <c r="D766" s="29"/>
      <c r="E766" s="35"/>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row>
    <row r="767">
      <c r="A767" s="29"/>
      <c r="B767" s="29"/>
      <c r="C767" s="29"/>
      <c r="D767" s="29"/>
      <c r="E767" s="35"/>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row>
    <row r="768">
      <c r="A768" s="29"/>
      <c r="B768" s="29"/>
      <c r="C768" s="29"/>
      <c r="D768" s="29"/>
      <c r="E768" s="35"/>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row>
    <row r="769">
      <c r="A769" s="29"/>
      <c r="B769" s="29"/>
      <c r="C769" s="29"/>
      <c r="D769" s="29"/>
      <c r="E769" s="35"/>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row>
    <row r="770">
      <c r="A770" s="29"/>
      <c r="B770" s="29"/>
      <c r="C770" s="29"/>
      <c r="D770" s="29"/>
      <c r="E770" s="35"/>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row>
    <row r="771">
      <c r="A771" s="29"/>
      <c r="B771" s="29"/>
      <c r="C771" s="29"/>
      <c r="D771" s="29"/>
      <c r="E771" s="35"/>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row>
    <row r="772">
      <c r="A772" s="29"/>
      <c r="B772" s="29"/>
      <c r="C772" s="29"/>
      <c r="D772" s="29"/>
      <c r="E772" s="35"/>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row>
    <row r="773">
      <c r="A773" s="29"/>
      <c r="B773" s="29"/>
      <c r="C773" s="29"/>
      <c r="D773" s="29"/>
      <c r="E773" s="35"/>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row>
    <row r="774">
      <c r="A774" s="29"/>
      <c r="B774" s="29"/>
      <c r="C774" s="29"/>
      <c r="D774" s="29"/>
      <c r="E774" s="35"/>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row>
    <row r="775">
      <c r="A775" s="29"/>
      <c r="B775" s="29"/>
      <c r="C775" s="29"/>
      <c r="D775" s="29"/>
      <c r="E775" s="35"/>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row>
    <row r="776">
      <c r="A776" s="29"/>
      <c r="B776" s="29"/>
      <c r="C776" s="29"/>
      <c r="D776" s="29"/>
      <c r="E776" s="35"/>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row>
    <row r="777">
      <c r="A777" s="29"/>
      <c r="B777" s="29"/>
      <c r="C777" s="29"/>
      <c r="D777" s="29"/>
      <c r="E777" s="35"/>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row>
    <row r="778">
      <c r="A778" s="29"/>
      <c r="B778" s="29"/>
      <c r="C778" s="29"/>
      <c r="D778" s="29"/>
      <c r="E778" s="35"/>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row>
    <row r="779">
      <c r="A779" s="29"/>
      <c r="B779" s="29"/>
      <c r="C779" s="29"/>
      <c r="D779" s="29"/>
      <c r="E779" s="35"/>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row>
    <row r="780">
      <c r="A780" s="29"/>
      <c r="B780" s="29"/>
      <c r="C780" s="29"/>
      <c r="D780" s="29"/>
      <c r="E780" s="35"/>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row>
    <row r="781">
      <c r="A781" s="29"/>
      <c r="B781" s="29"/>
      <c r="C781" s="29"/>
      <c r="D781" s="29"/>
      <c r="E781" s="35"/>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row>
    <row r="782">
      <c r="A782" s="29"/>
      <c r="B782" s="29"/>
      <c r="C782" s="29"/>
      <c r="D782" s="29"/>
      <c r="E782" s="35"/>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row>
    <row r="783">
      <c r="A783" s="29"/>
      <c r="B783" s="29"/>
      <c r="C783" s="29"/>
      <c r="D783" s="29"/>
      <c r="E783" s="35"/>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row>
    <row r="784">
      <c r="A784" s="29"/>
      <c r="B784" s="29"/>
      <c r="C784" s="29"/>
      <c r="D784" s="29"/>
      <c r="E784" s="35"/>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row>
    <row r="785">
      <c r="A785" s="29"/>
      <c r="B785" s="29"/>
      <c r="C785" s="29"/>
      <c r="D785" s="29"/>
      <c r="E785" s="35"/>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row>
    <row r="786">
      <c r="A786" s="29"/>
      <c r="B786" s="29"/>
      <c r="C786" s="29"/>
      <c r="D786" s="29"/>
      <c r="E786" s="35"/>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row>
    <row r="787">
      <c r="A787" s="29"/>
      <c r="B787" s="29"/>
      <c r="C787" s="29"/>
      <c r="D787" s="29"/>
      <c r="E787" s="35"/>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row>
    <row r="788">
      <c r="A788" s="29"/>
      <c r="B788" s="29"/>
      <c r="C788" s="29"/>
      <c r="D788" s="29"/>
      <c r="E788" s="35"/>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row>
    <row r="789">
      <c r="A789" s="29"/>
      <c r="B789" s="29"/>
      <c r="C789" s="29"/>
      <c r="D789" s="29"/>
      <c r="E789" s="35"/>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row>
    <row r="790">
      <c r="A790" s="29"/>
      <c r="B790" s="29"/>
      <c r="C790" s="29"/>
      <c r="D790" s="29"/>
      <c r="E790" s="35"/>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row>
    <row r="791">
      <c r="A791" s="29"/>
      <c r="B791" s="29"/>
      <c r="C791" s="29"/>
      <c r="D791" s="29"/>
      <c r="E791" s="35"/>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row>
    <row r="792">
      <c r="A792" s="29"/>
      <c r="B792" s="29"/>
      <c r="C792" s="29"/>
      <c r="D792" s="29"/>
      <c r="E792" s="35"/>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row>
    <row r="793">
      <c r="A793" s="29"/>
      <c r="B793" s="29"/>
      <c r="C793" s="29"/>
      <c r="D793" s="29"/>
      <c r="E793" s="35"/>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row>
    <row r="794">
      <c r="A794" s="29"/>
      <c r="B794" s="29"/>
      <c r="C794" s="29"/>
      <c r="D794" s="29"/>
      <c r="E794" s="35"/>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row>
    <row r="795">
      <c r="A795" s="29"/>
      <c r="B795" s="29"/>
      <c r="C795" s="29"/>
      <c r="D795" s="29"/>
      <c r="E795" s="35"/>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row>
    <row r="796">
      <c r="A796" s="29"/>
      <c r="B796" s="29"/>
      <c r="C796" s="29"/>
      <c r="D796" s="29"/>
      <c r="E796" s="35"/>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row>
    <row r="797">
      <c r="A797" s="29"/>
      <c r="B797" s="29"/>
      <c r="C797" s="29"/>
      <c r="D797" s="29"/>
      <c r="E797" s="35"/>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row>
    <row r="798">
      <c r="A798" s="29"/>
      <c r="B798" s="29"/>
      <c r="C798" s="29"/>
      <c r="D798" s="29"/>
      <c r="E798" s="35"/>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row>
    <row r="799">
      <c r="A799" s="29"/>
      <c r="B799" s="29"/>
      <c r="C799" s="29"/>
      <c r="D799" s="29"/>
      <c r="E799" s="35"/>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row>
    <row r="800">
      <c r="A800" s="29"/>
      <c r="B800" s="29"/>
      <c r="C800" s="29"/>
      <c r="D800" s="29"/>
      <c r="E800" s="35"/>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row>
    <row r="801">
      <c r="A801" s="29"/>
      <c r="B801" s="29"/>
      <c r="C801" s="29"/>
      <c r="D801" s="29"/>
      <c r="E801" s="35"/>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row>
    <row r="802">
      <c r="A802" s="29"/>
      <c r="B802" s="29"/>
      <c r="C802" s="29"/>
      <c r="D802" s="29"/>
      <c r="E802" s="35"/>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row>
    <row r="803">
      <c r="A803" s="29"/>
      <c r="B803" s="29"/>
      <c r="C803" s="29"/>
      <c r="D803" s="29"/>
      <c r="E803" s="35"/>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row>
    <row r="804">
      <c r="A804" s="29"/>
      <c r="B804" s="29"/>
      <c r="C804" s="29"/>
      <c r="D804" s="29"/>
      <c r="E804" s="35"/>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row>
    <row r="805">
      <c r="A805" s="29"/>
      <c r="B805" s="29"/>
      <c r="C805" s="29"/>
      <c r="D805" s="29"/>
      <c r="E805" s="35"/>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row>
    <row r="806">
      <c r="A806" s="29"/>
      <c r="B806" s="29"/>
      <c r="C806" s="29"/>
      <c r="D806" s="29"/>
      <c r="E806" s="35"/>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row>
    <row r="807">
      <c r="A807" s="29"/>
      <c r="B807" s="29"/>
      <c r="C807" s="29"/>
      <c r="D807" s="29"/>
      <c r="E807" s="35"/>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row>
    <row r="808">
      <c r="A808" s="29"/>
      <c r="B808" s="29"/>
      <c r="C808" s="29"/>
      <c r="D808" s="29"/>
      <c r="E808" s="35"/>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row>
    <row r="809">
      <c r="A809" s="29"/>
      <c r="B809" s="29"/>
      <c r="C809" s="29"/>
      <c r="D809" s="29"/>
      <c r="E809" s="35"/>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row>
    <row r="810">
      <c r="A810" s="29"/>
      <c r="B810" s="29"/>
      <c r="C810" s="29"/>
      <c r="D810" s="29"/>
      <c r="E810" s="35"/>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row>
    <row r="811">
      <c r="A811" s="29"/>
      <c r="B811" s="29"/>
      <c r="C811" s="29"/>
      <c r="D811" s="29"/>
      <c r="E811" s="35"/>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row>
    <row r="812">
      <c r="A812" s="29"/>
      <c r="B812" s="29"/>
      <c r="C812" s="29"/>
      <c r="D812" s="29"/>
      <c r="E812" s="35"/>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row>
    <row r="813">
      <c r="A813" s="29"/>
      <c r="B813" s="29"/>
      <c r="C813" s="29"/>
      <c r="D813" s="29"/>
      <c r="E813" s="35"/>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row>
    <row r="814">
      <c r="A814" s="29"/>
      <c r="B814" s="29"/>
      <c r="C814" s="29"/>
      <c r="D814" s="29"/>
      <c r="E814" s="35"/>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row>
    <row r="815">
      <c r="A815" s="29"/>
      <c r="B815" s="29"/>
      <c r="C815" s="29"/>
      <c r="D815" s="29"/>
      <c r="E815" s="35"/>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row>
    <row r="816">
      <c r="A816" s="29"/>
      <c r="B816" s="29"/>
      <c r="C816" s="29"/>
      <c r="D816" s="29"/>
      <c r="E816" s="35"/>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row>
    <row r="817">
      <c r="A817" s="29"/>
      <c r="B817" s="29"/>
      <c r="C817" s="29"/>
      <c r="D817" s="29"/>
      <c r="E817" s="35"/>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row>
    <row r="818">
      <c r="A818" s="29"/>
      <c r="B818" s="29"/>
      <c r="C818" s="29"/>
      <c r="D818" s="29"/>
      <c r="E818" s="35"/>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row>
    <row r="819">
      <c r="A819" s="29"/>
      <c r="B819" s="29"/>
      <c r="C819" s="29"/>
      <c r="D819" s="29"/>
      <c r="E819" s="35"/>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row>
    <row r="820">
      <c r="A820" s="29"/>
      <c r="B820" s="29"/>
      <c r="C820" s="29"/>
      <c r="D820" s="29"/>
      <c r="E820" s="35"/>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row>
    <row r="821">
      <c r="A821" s="29"/>
      <c r="B821" s="29"/>
      <c r="C821" s="29"/>
      <c r="D821" s="29"/>
      <c r="E821" s="35"/>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row>
    <row r="822">
      <c r="A822" s="29"/>
      <c r="B822" s="29"/>
      <c r="C822" s="29"/>
      <c r="D822" s="29"/>
      <c r="E822" s="35"/>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row>
    <row r="823">
      <c r="A823" s="29"/>
      <c r="B823" s="29"/>
      <c r="C823" s="29"/>
      <c r="D823" s="29"/>
      <c r="E823" s="35"/>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row>
    <row r="824">
      <c r="A824" s="29"/>
      <c r="B824" s="29"/>
      <c r="C824" s="29"/>
      <c r="D824" s="29"/>
      <c r="E824" s="35"/>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row>
    <row r="825">
      <c r="A825" s="29"/>
      <c r="B825" s="29"/>
      <c r="C825" s="29"/>
      <c r="D825" s="29"/>
      <c r="E825" s="35"/>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row>
    <row r="826">
      <c r="A826" s="29"/>
      <c r="B826" s="29"/>
      <c r="C826" s="29"/>
      <c r="D826" s="29"/>
      <c r="E826" s="35"/>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row>
    <row r="827">
      <c r="A827" s="29"/>
      <c r="B827" s="29"/>
      <c r="C827" s="29"/>
      <c r="D827" s="29"/>
      <c r="E827" s="35"/>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row>
    <row r="828">
      <c r="A828" s="29"/>
      <c r="B828" s="29"/>
      <c r="C828" s="29"/>
      <c r="D828" s="29"/>
      <c r="E828" s="35"/>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row>
    <row r="829">
      <c r="A829" s="29"/>
      <c r="B829" s="29"/>
      <c r="C829" s="29"/>
      <c r="D829" s="29"/>
      <c r="E829" s="35"/>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row>
    <row r="830">
      <c r="A830" s="29"/>
      <c r="B830" s="29"/>
      <c r="C830" s="29"/>
      <c r="D830" s="29"/>
      <c r="E830" s="35"/>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row>
    <row r="831">
      <c r="A831" s="29"/>
      <c r="B831" s="29"/>
      <c r="C831" s="29"/>
      <c r="D831" s="29"/>
      <c r="E831" s="35"/>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row>
    <row r="832">
      <c r="A832" s="29"/>
      <c r="B832" s="29"/>
      <c r="C832" s="29"/>
      <c r="D832" s="29"/>
      <c r="E832" s="35"/>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row>
    <row r="833">
      <c r="A833" s="29"/>
      <c r="B833" s="29"/>
      <c r="C833" s="29"/>
      <c r="D833" s="29"/>
      <c r="E833" s="35"/>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row>
    <row r="834">
      <c r="A834" s="29"/>
      <c r="B834" s="29"/>
      <c r="C834" s="29"/>
      <c r="D834" s="29"/>
      <c r="E834" s="35"/>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row>
    <row r="835">
      <c r="A835" s="29"/>
      <c r="B835" s="29"/>
      <c r="C835" s="29"/>
      <c r="D835" s="29"/>
      <c r="E835" s="35"/>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row>
    <row r="836">
      <c r="A836" s="29"/>
      <c r="B836" s="29"/>
      <c r="C836" s="29"/>
      <c r="D836" s="29"/>
      <c r="E836" s="35"/>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row>
    <row r="837">
      <c r="A837" s="29"/>
      <c r="B837" s="29"/>
      <c r="C837" s="29"/>
      <c r="D837" s="29"/>
      <c r="E837" s="35"/>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row>
    <row r="838">
      <c r="A838" s="29"/>
      <c r="B838" s="29"/>
      <c r="C838" s="29"/>
      <c r="D838" s="29"/>
      <c r="E838" s="35"/>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row>
    <row r="839">
      <c r="A839" s="29"/>
      <c r="B839" s="29"/>
      <c r="C839" s="29"/>
      <c r="D839" s="29"/>
      <c r="E839" s="35"/>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row>
    <row r="840">
      <c r="A840" s="29"/>
      <c r="B840" s="29"/>
      <c r="C840" s="29"/>
      <c r="D840" s="29"/>
      <c r="E840" s="35"/>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row>
    <row r="841">
      <c r="A841" s="29"/>
      <c r="B841" s="29"/>
      <c r="C841" s="29"/>
      <c r="D841" s="29"/>
      <c r="E841" s="35"/>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row>
    <row r="842">
      <c r="A842" s="29"/>
      <c r="B842" s="29"/>
      <c r="C842" s="29"/>
      <c r="D842" s="29"/>
      <c r="E842" s="35"/>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row>
    <row r="843">
      <c r="A843" s="29"/>
      <c r="B843" s="29"/>
      <c r="C843" s="29"/>
      <c r="D843" s="29"/>
      <c r="E843" s="35"/>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row>
    <row r="844">
      <c r="A844" s="29"/>
      <c r="B844" s="29"/>
      <c r="C844" s="29"/>
      <c r="D844" s="29"/>
      <c r="E844" s="35"/>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row>
    <row r="845">
      <c r="A845" s="29"/>
      <c r="B845" s="29"/>
      <c r="C845" s="29"/>
      <c r="D845" s="29"/>
      <c r="E845" s="35"/>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row>
    <row r="846">
      <c r="A846" s="29"/>
      <c r="B846" s="29"/>
      <c r="C846" s="29"/>
      <c r="D846" s="29"/>
      <c r="E846" s="35"/>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row>
    <row r="847">
      <c r="A847" s="29"/>
      <c r="B847" s="29"/>
      <c r="C847" s="29"/>
      <c r="D847" s="29"/>
      <c r="E847" s="35"/>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row>
    <row r="848">
      <c r="A848" s="29"/>
      <c r="B848" s="29"/>
      <c r="C848" s="29"/>
      <c r="D848" s="29"/>
      <c r="E848" s="35"/>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row>
    <row r="849">
      <c r="A849" s="29"/>
      <c r="B849" s="29"/>
      <c r="C849" s="29"/>
      <c r="D849" s="29"/>
      <c r="E849" s="35"/>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row>
    <row r="850">
      <c r="A850" s="29"/>
      <c r="B850" s="29"/>
      <c r="C850" s="29"/>
      <c r="D850" s="29"/>
      <c r="E850" s="35"/>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row>
    <row r="851">
      <c r="A851" s="29"/>
      <c r="B851" s="29"/>
      <c r="C851" s="29"/>
      <c r="D851" s="29"/>
      <c r="E851" s="35"/>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row>
    <row r="852">
      <c r="A852" s="29"/>
      <c r="B852" s="29"/>
      <c r="C852" s="29"/>
      <c r="D852" s="29"/>
      <c r="E852" s="35"/>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row>
    <row r="853">
      <c r="A853" s="29"/>
      <c r="B853" s="29"/>
      <c r="C853" s="29"/>
      <c r="D853" s="29"/>
      <c r="E853" s="35"/>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row>
    <row r="854">
      <c r="A854" s="29"/>
      <c r="B854" s="29"/>
      <c r="C854" s="29"/>
      <c r="D854" s="29"/>
      <c r="E854" s="35"/>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row>
    <row r="855">
      <c r="A855" s="29"/>
      <c r="B855" s="29"/>
      <c r="C855" s="29"/>
      <c r="D855" s="29"/>
      <c r="E855" s="35"/>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row>
    <row r="856">
      <c r="A856" s="29"/>
      <c r="B856" s="29"/>
      <c r="C856" s="29"/>
      <c r="D856" s="29"/>
      <c r="E856" s="35"/>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row>
    <row r="857">
      <c r="A857" s="29"/>
      <c r="B857" s="29"/>
      <c r="C857" s="29"/>
      <c r="D857" s="29"/>
      <c r="E857" s="35"/>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row>
    <row r="858">
      <c r="A858" s="29"/>
      <c r="B858" s="29"/>
      <c r="C858" s="29"/>
      <c r="D858" s="29"/>
      <c r="E858" s="35"/>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row>
    <row r="859">
      <c r="A859" s="29"/>
      <c r="B859" s="29"/>
      <c r="C859" s="29"/>
      <c r="D859" s="29"/>
      <c r="E859" s="35"/>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row>
    <row r="860">
      <c r="A860" s="29"/>
      <c r="B860" s="29"/>
      <c r="C860" s="29"/>
      <c r="D860" s="29"/>
      <c r="E860" s="35"/>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row>
    <row r="861">
      <c r="A861" s="29"/>
      <c r="B861" s="29"/>
      <c r="C861" s="29"/>
      <c r="D861" s="29"/>
      <c r="E861" s="35"/>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row>
    <row r="862">
      <c r="A862" s="29"/>
      <c r="B862" s="29"/>
      <c r="C862" s="29"/>
      <c r="D862" s="29"/>
      <c r="E862" s="35"/>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row>
    <row r="863">
      <c r="A863" s="29"/>
      <c r="B863" s="29"/>
      <c r="C863" s="29"/>
      <c r="D863" s="29"/>
      <c r="E863" s="35"/>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row>
    <row r="864">
      <c r="A864" s="29"/>
      <c r="B864" s="29"/>
      <c r="C864" s="29"/>
      <c r="D864" s="29"/>
      <c r="E864" s="35"/>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row>
    <row r="865">
      <c r="A865" s="29"/>
      <c r="B865" s="29"/>
      <c r="C865" s="29"/>
      <c r="D865" s="29"/>
      <c r="E865" s="35"/>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row>
    <row r="866">
      <c r="A866" s="29"/>
      <c r="B866" s="29"/>
      <c r="C866" s="29"/>
      <c r="D866" s="29"/>
      <c r="E866" s="35"/>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row>
    <row r="867">
      <c r="A867" s="29"/>
      <c r="B867" s="29"/>
      <c r="C867" s="29"/>
      <c r="D867" s="29"/>
      <c r="E867" s="35"/>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row>
    <row r="868">
      <c r="A868" s="29"/>
      <c r="B868" s="29"/>
      <c r="C868" s="29"/>
      <c r="D868" s="29"/>
      <c r="E868" s="35"/>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row>
    <row r="869">
      <c r="A869" s="29"/>
      <c r="B869" s="29"/>
      <c r="C869" s="29"/>
      <c r="D869" s="29"/>
      <c r="E869" s="35"/>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row>
    <row r="870">
      <c r="A870" s="29"/>
      <c r="B870" s="29"/>
      <c r="C870" s="29"/>
      <c r="D870" s="29"/>
      <c r="E870" s="35"/>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row>
    <row r="871">
      <c r="A871" s="29"/>
      <c r="B871" s="29"/>
      <c r="C871" s="29"/>
      <c r="D871" s="29"/>
      <c r="E871" s="35"/>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row>
    <row r="872">
      <c r="A872" s="29"/>
      <c r="B872" s="29"/>
      <c r="C872" s="29"/>
      <c r="D872" s="29"/>
      <c r="E872" s="35"/>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row>
    <row r="873">
      <c r="A873" s="29"/>
      <c r="B873" s="29"/>
      <c r="C873" s="29"/>
      <c r="D873" s="29"/>
      <c r="E873" s="35"/>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row>
    <row r="874">
      <c r="A874" s="29"/>
      <c r="B874" s="29"/>
      <c r="C874" s="29"/>
      <c r="D874" s="29"/>
      <c r="E874" s="35"/>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row>
    <row r="875">
      <c r="A875" s="29"/>
      <c r="B875" s="29"/>
      <c r="C875" s="29"/>
      <c r="D875" s="29"/>
      <c r="E875" s="35"/>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row>
    <row r="876">
      <c r="A876" s="29"/>
      <c r="B876" s="29"/>
      <c r="C876" s="29"/>
      <c r="D876" s="29"/>
      <c r="E876" s="35"/>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row>
    <row r="877">
      <c r="A877" s="29"/>
      <c r="B877" s="29"/>
      <c r="C877" s="29"/>
      <c r="D877" s="29"/>
      <c r="E877" s="35"/>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row>
    <row r="878">
      <c r="A878" s="29"/>
      <c r="B878" s="29"/>
      <c r="C878" s="29"/>
      <c r="D878" s="29"/>
      <c r="E878" s="35"/>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row>
    <row r="879">
      <c r="A879" s="29"/>
      <c r="B879" s="29"/>
      <c r="C879" s="29"/>
      <c r="D879" s="29"/>
      <c r="E879" s="35"/>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row>
    <row r="880">
      <c r="A880" s="29"/>
      <c r="B880" s="29"/>
      <c r="C880" s="29"/>
      <c r="D880" s="29"/>
      <c r="E880" s="35"/>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row>
    <row r="881">
      <c r="A881" s="29"/>
      <c r="B881" s="29"/>
      <c r="C881" s="29"/>
      <c r="D881" s="29"/>
      <c r="E881" s="35"/>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row>
    <row r="882">
      <c r="A882" s="29"/>
      <c r="B882" s="29"/>
      <c r="C882" s="29"/>
      <c r="D882" s="29"/>
      <c r="E882" s="35"/>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row>
    <row r="883">
      <c r="A883" s="29"/>
      <c r="B883" s="29"/>
      <c r="C883" s="29"/>
      <c r="D883" s="29"/>
      <c r="E883" s="35"/>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row>
    <row r="884">
      <c r="A884" s="29"/>
      <c r="B884" s="29"/>
      <c r="C884" s="29"/>
      <c r="D884" s="29"/>
      <c r="E884" s="35"/>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row>
    <row r="885">
      <c r="A885" s="29"/>
      <c r="B885" s="29"/>
      <c r="C885" s="29"/>
      <c r="D885" s="29"/>
      <c r="E885" s="35"/>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row>
    <row r="886">
      <c r="A886" s="29"/>
      <c r="B886" s="29"/>
      <c r="C886" s="29"/>
      <c r="D886" s="29"/>
      <c r="E886" s="35"/>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row>
    <row r="887">
      <c r="A887" s="29"/>
      <c r="B887" s="29"/>
      <c r="C887" s="29"/>
      <c r="D887" s="29"/>
      <c r="E887" s="35"/>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row>
    <row r="888">
      <c r="A888" s="29"/>
      <c r="B888" s="29"/>
      <c r="C888" s="29"/>
      <c r="D888" s="29"/>
      <c r="E888" s="35"/>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row>
    <row r="889">
      <c r="A889" s="29"/>
      <c r="B889" s="29"/>
      <c r="C889" s="29"/>
      <c r="D889" s="29"/>
      <c r="E889" s="35"/>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row>
    <row r="890">
      <c r="A890" s="29"/>
      <c r="B890" s="29"/>
      <c r="C890" s="29"/>
      <c r="D890" s="29"/>
      <c r="E890" s="35"/>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row>
    <row r="891">
      <c r="A891" s="29"/>
      <c r="B891" s="29"/>
      <c r="C891" s="29"/>
      <c r="D891" s="29"/>
      <c r="E891" s="35"/>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row>
    <row r="892">
      <c r="A892" s="29"/>
      <c r="B892" s="29"/>
      <c r="C892" s="29"/>
      <c r="D892" s="29"/>
      <c r="E892" s="35"/>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row>
    <row r="893">
      <c r="A893" s="29"/>
      <c r="B893" s="29"/>
      <c r="C893" s="29"/>
      <c r="D893" s="29"/>
      <c r="E893" s="35"/>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row>
    <row r="894">
      <c r="A894" s="29"/>
      <c r="B894" s="29"/>
      <c r="C894" s="29"/>
      <c r="D894" s="29"/>
      <c r="E894" s="35"/>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row>
    <row r="895">
      <c r="A895" s="29"/>
      <c r="B895" s="29"/>
      <c r="C895" s="29"/>
      <c r="D895" s="29"/>
      <c r="E895" s="35"/>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row>
    <row r="896">
      <c r="A896" s="29"/>
      <c r="B896" s="29"/>
      <c r="C896" s="29"/>
      <c r="D896" s="29"/>
      <c r="E896" s="35"/>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row>
    <row r="897">
      <c r="A897" s="29"/>
      <c r="B897" s="29"/>
      <c r="C897" s="29"/>
      <c r="D897" s="29"/>
      <c r="E897" s="35"/>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row>
    <row r="898">
      <c r="A898" s="29"/>
      <c r="B898" s="29"/>
      <c r="C898" s="29"/>
      <c r="D898" s="29"/>
      <c r="E898" s="35"/>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row>
    <row r="899">
      <c r="A899" s="29"/>
      <c r="B899" s="29"/>
      <c r="C899" s="29"/>
      <c r="D899" s="29"/>
      <c r="E899" s="35"/>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row>
    <row r="900">
      <c r="A900" s="29"/>
      <c r="B900" s="29"/>
      <c r="C900" s="29"/>
      <c r="D900" s="29"/>
      <c r="E900" s="35"/>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row>
    <row r="901">
      <c r="A901" s="29"/>
      <c r="B901" s="29"/>
      <c r="C901" s="29"/>
      <c r="D901" s="29"/>
      <c r="E901" s="35"/>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row>
    <row r="902">
      <c r="A902" s="29"/>
      <c r="B902" s="29"/>
      <c r="C902" s="29"/>
      <c r="D902" s="29"/>
      <c r="E902" s="35"/>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row>
    <row r="903">
      <c r="A903" s="29"/>
      <c r="B903" s="29"/>
      <c r="C903" s="29"/>
      <c r="D903" s="29"/>
      <c r="E903" s="35"/>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row>
    <row r="904">
      <c r="A904" s="29"/>
      <c r="B904" s="29"/>
      <c r="C904" s="29"/>
      <c r="D904" s="29"/>
      <c r="E904" s="35"/>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row>
    <row r="905">
      <c r="A905" s="29"/>
      <c r="B905" s="29"/>
      <c r="C905" s="29"/>
      <c r="D905" s="29"/>
      <c r="E905" s="35"/>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row>
    <row r="906">
      <c r="A906" s="29"/>
      <c r="B906" s="29"/>
      <c r="C906" s="29"/>
      <c r="D906" s="29"/>
      <c r="E906" s="35"/>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row>
    <row r="907">
      <c r="A907" s="29"/>
      <c r="B907" s="29"/>
      <c r="C907" s="29"/>
      <c r="D907" s="29"/>
      <c r="E907" s="35"/>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row>
    <row r="908">
      <c r="A908" s="29"/>
      <c r="B908" s="29"/>
      <c r="C908" s="29"/>
      <c r="D908" s="29"/>
      <c r="E908" s="35"/>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row>
    <row r="909">
      <c r="A909" s="29"/>
      <c r="B909" s="29"/>
      <c r="C909" s="29"/>
      <c r="D909" s="29"/>
      <c r="E909" s="35"/>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row>
    <row r="910">
      <c r="A910" s="29"/>
      <c r="B910" s="29"/>
      <c r="C910" s="29"/>
      <c r="D910" s="29"/>
      <c r="E910" s="35"/>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row>
    <row r="911">
      <c r="A911" s="29"/>
      <c r="B911" s="29"/>
      <c r="C911" s="29"/>
      <c r="D911" s="29"/>
      <c r="E911" s="35"/>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row>
    <row r="912">
      <c r="A912" s="29"/>
      <c r="B912" s="29"/>
      <c r="C912" s="29"/>
      <c r="D912" s="29"/>
      <c r="E912" s="35"/>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row>
    <row r="913">
      <c r="A913" s="29"/>
      <c r="B913" s="29"/>
      <c r="C913" s="29"/>
      <c r="D913" s="29"/>
      <c r="E913" s="35"/>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row>
    <row r="914">
      <c r="A914" s="29"/>
      <c r="B914" s="29"/>
      <c r="C914" s="29"/>
      <c r="D914" s="29"/>
      <c r="E914" s="35"/>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row>
    <row r="915">
      <c r="A915" s="29"/>
      <c r="B915" s="29"/>
      <c r="C915" s="29"/>
      <c r="D915" s="29"/>
      <c r="E915" s="35"/>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row>
    <row r="916">
      <c r="A916" s="29"/>
      <c r="B916" s="29"/>
      <c r="C916" s="29"/>
      <c r="D916" s="29"/>
      <c r="E916" s="35"/>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row>
    <row r="917">
      <c r="A917" s="29"/>
      <c r="B917" s="29"/>
      <c r="C917" s="29"/>
      <c r="D917" s="29"/>
      <c r="E917" s="35"/>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row>
    <row r="918">
      <c r="A918" s="29"/>
      <c r="B918" s="29"/>
      <c r="C918" s="29"/>
      <c r="D918" s="29"/>
      <c r="E918" s="35"/>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row>
    <row r="919">
      <c r="A919" s="29"/>
      <c r="B919" s="29"/>
      <c r="C919" s="29"/>
      <c r="D919" s="29"/>
      <c r="E919" s="35"/>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row>
    <row r="920">
      <c r="A920" s="29"/>
      <c r="B920" s="29"/>
      <c r="C920" s="29"/>
      <c r="D920" s="29"/>
      <c r="E920" s="35"/>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row>
    <row r="921">
      <c r="A921" s="29"/>
      <c r="B921" s="29"/>
      <c r="C921" s="29"/>
      <c r="D921" s="29"/>
      <c r="E921" s="35"/>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row>
    <row r="922">
      <c r="A922" s="29"/>
      <c r="B922" s="29"/>
      <c r="C922" s="29"/>
      <c r="D922" s="29"/>
      <c r="E922" s="35"/>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row>
    <row r="923">
      <c r="A923" s="29"/>
      <c r="B923" s="29"/>
      <c r="C923" s="29"/>
      <c r="D923" s="29"/>
      <c r="E923" s="35"/>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row>
    <row r="924">
      <c r="A924" s="29"/>
      <c r="B924" s="29"/>
      <c r="C924" s="29"/>
      <c r="D924" s="29"/>
      <c r="E924" s="35"/>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row>
    <row r="925">
      <c r="A925" s="29"/>
      <c r="B925" s="29"/>
      <c r="C925" s="29"/>
      <c r="D925" s="29"/>
      <c r="E925" s="35"/>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row>
    <row r="926">
      <c r="A926" s="29"/>
      <c r="B926" s="29"/>
      <c r="C926" s="29"/>
      <c r="D926" s="29"/>
      <c r="E926" s="35"/>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row>
    <row r="927">
      <c r="A927" s="29"/>
      <c r="B927" s="29"/>
      <c r="C927" s="29"/>
      <c r="D927" s="29"/>
      <c r="E927" s="35"/>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row>
    <row r="928">
      <c r="A928" s="29"/>
      <c r="B928" s="29"/>
      <c r="C928" s="29"/>
      <c r="D928" s="29"/>
      <c r="E928" s="35"/>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row>
    <row r="929">
      <c r="A929" s="29"/>
      <c r="B929" s="29"/>
      <c r="C929" s="29"/>
      <c r="D929" s="29"/>
      <c r="E929" s="35"/>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row>
    <row r="930">
      <c r="A930" s="29"/>
      <c r="B930" s="29"/>
      <c r="C930" s="29"/>
      <c r="D930" s="29"/>
      <c r="E930" s="35"/>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row>
    <row r="931">
      <c r="A931" s="29"/>
      <c r="B931" s="29"/>
      <c r="C931" s="29"/>
      <c r="D931" s="29"/>
      <c r="E931" s="35"/>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row>
    <row r="932">
      <c r="A932" s="29"/>
      <c r="B932" s="29"/>
      <c r="C932" s="29"/>
      <c r="D932" s="29"/>
      <c r="E932" s="35"/>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row>
    <row r="933">
      <c r="A933" s="29"/>
      <c r="B933" s="29"/>
      <c r="C933" s="29"/>
      <c r="D933" s="29"/>
      <c r="E933" s="35"/>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row>
    <row r="934">
      <c r="A934" s="29"/>
      <c r="B934" s="29"/>
      <c r="C934" s="29"/>
      <c r="D934" s="29"/>
      <c r="E934" s="35"/>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row>
    <row r="935">
      <c r="A935" s="29"/>
      <c r="B935" s="29"/>
      <c r="C935" s="29"/>
      <c r="D935" s="29"/>
      <c r="E935" s="35"/>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row>
    <row r="936">
      <c r="A936" s="29"/>
      <c r="B936" s="29"/>
      <c r="C936" s="29"/>
      <c r="D936" s="29"/>
      <c r="E936" s="35"/>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row>
    <row r="937">
      <c r="A937" s="29"/>
      <c r="B937" s="29"/>
      <c r="C937" s="29"/>
      <c r="D937" s="29"/>
      <c r="E937" s="35"/>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row>
    <row r="938">
      <c r="A938" s="29"/>
      <c r="B938" s="29"/>
      <c r="C938" s="29"/>
      <c r="D938" s="29"/>
      <c r="E938" s="35"/>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row>
    <row r="939">
      <c r="A939" s="29"/>
      <c r="B939" s="29"/>
      <c r="C939" s="29"/>
      <c r="D939" s="29"/>
      <c r="E939" s="35"/>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row>
    <row r="940">
      <c r="A940" s="29"/>
      <c r="B940" s="29"/>
      <c r="C940" s="29"/>
      <c r="D940" s="29"/>
      <c r="E940" s="35"/>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row>
    <row r="941">
      <c r="A941" s="29"/>
      <c r="B941" s="29"/>
      <c r="C941" s="29"/>
      <c r="D941" s="29"/>
      <c r="E941" s="35"/>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row>
    <row r="942">
      <c r="A942" s="29"/>
      <c r="B942" s="29"/>
      <c r="C942" s="29"/>
      <c r="D942" s="29"/>
      <c r="E942" s="35"/>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row>
    <row r="943">
      <c r="A943" s="29"/>
      <c r="B943" s="29"/>
      <c r="C943" s="29"/>
      <c r="D943" s="29"/>
      <c r="E943" s="35"/>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row>
    <row r="944">
      <c r="A944" s="29"/>
      <c r="B944" s="29"/>
      <c r="C944" s="29"/>
      <c r="D944" s="29"/>
      <c r="E944" s="35"/>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row>
    <row r="945">
      <c r="A945" s="29"/>
      <c r="B945" s="29"/>
      <c r="C945" s="29"/>
      <c r="D945" s="29"/>
      <c r="E945" s="35"/>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row>
    <row r="946">
      <c r="A946" s="29"/>
      <c r="B946" s="29"/>
      <c r="C946" s="29"/>
      <c r="D946" s="29"/>
      <c r="E946" s="35"/>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row>
    <row r="947">
      <c r="A947" s="29"/>
      <c r="B947" s="29"/>
      <c r="C947" s="29"/>
      <c r="D947" s="29"/>
      <c r="E947" s="35"/>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row>
    <row r="948">
      <c r="A948" s="29"/>
      <c r="B948" s="29"/>
      <c r="C948" s="29"/>
      <c r="D948" s="29"/>
      <c r="E948" s="35"/>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row>
    <row r="949">
      <c r="A949" s="29"/>
      <c r="B949" s="29"/>
      <c r="C949" s="29"/>
      <c r="D949" s="29"/>
      <c r="E949" s="35"/>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row>
    <row r="950">
      <c r="A950" s="29"/>
      <c r="B950" s="29"/>
      <c r="C950" s="29"/>
      <c r="D950" s="29"/>
      <c r="E950" s="35"/>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row>
    <row r="951">
      <c r="A951" s="29"/>
      <c r="B951" s="29"/>
      <c r="C951" s="29"/>
      <c r="D951" s="29"/>
      <c r="E951" s="35"/>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row>
    <row r="952">
      <c r="A952" s="29"/>
      <c r="B952" s="29"/>
      <c r="C952" s="29"/>
      <c r="D952" s="29"/>
      <c r="E952" s="35"/>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row>
    <row r="953">
      <c r="A953" s="29"/>
      <c r="B953" s="29"/>
      <c r="C953" s="29"/>
      <c r="D953" s="29"/>
      <c r="E953" s="35"/>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row>
    <row r="954">
      <c r="A954" s="29"/>
      <c r="B954" s="29"/>
      <c r="C954" s="29"/>
      <c r="D954" s="29"/>
      <c r="E954" s="35"/>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row>
    <row r="955">
      <c r="A955" s="29"/>
      <c r="B955" s="29"/>
      <c r="C955" s="29"/>
      <c r="D955" s="29"/>
      <c r="E955" s="35"/>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row>
    <row r="956">
      <c r="A956" s="29"/>
      <c r="B956" s="29"/>
      <c r="C956" s="29"/>
      <c r="D956" s="29"/>
      <c r="E956" s="35"/>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row>
    <row r="957">
      <c r="A957" s="29"/>
      <c r="B957" s="29"/>
      <c r="C957" s="29"/>
      <c r="D957" s="29"/>
      <c r="E957" s="35"/>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row>
    <row r="958">
      <c r="A958" s="29"/>
      <c r="B958" s="29"/>
      <c r="C958" s="29"/>
      <c r="D958" s="29"/>
      <c r="E958" s="35"/>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row>
    <row r="959">
      <c r="A959" s="29"/>
      <c r="B959" s="29"/>
      <c r="C959" s="29"/>
      <c r="D959" s="29"/>
      <c r="E959" s="35"/>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row>
    <row r="960">
      <c r="A960" s="29"/>
      <c r="B960" s="29"/>
      <c r="C960" s="29"/>
      <c r="D960" s="29"/>
      <c r="E960" s="35"/>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row>
    <row r="961">
      <c r="A961" s="29"/>
      <c r="B961" s="29"/>
      <c r="C961" s="29"/>
      <c r="D961" s="29"/>
      <c r="E961" s="35"/>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row>
    <row r="962">
      <c r="A962" s="29"/>
      <c r="B962" s="29"/>
      <c r="C962" s="29"/>
      <c r="D962" s="29"/>
      <c r="E962" s="35"/>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row>
    <row r="963">
      <c r="A963" s="29"/>
      <c r="B963" s="29"/>
      <c r="C963" s="29"/>
      <c r="D963" s="29"/>
      <c r="E963" s="35"/>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row>
    <row r="964">
      <c r="A964" s="29"/>
      <c r="B964" s="29"/>
      <c r="C964" s="29"/>
      <c r="D964" s="29"/>
      <c r="E964" s="35"/>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row>
    <row r="965">
      <c r="A965" s="29"/>
      <c r="B965" s="29"/>
      <c r="C965" s="29"/>
      <c r="D965" s="29"/>
      <c r="E965" s="35"/>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row>
    <row r="966">
      <c r="A966" s="29"/>
      <c r="B966" s="29"/>
      <c r="C966" s="29"/>
      <c r="D966" s="29"/>
      <c r="E966" s="35"/>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row>
    <row r="967">
      <c r="A967" s="29"/>
      <c r="B967" s="29"/>
      <c r="C967" s="29"/>
      <c r="D967" s="29"/>
      <c r="E967" s="35"/>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row>
    <row r="968">
      <c r="A968" s="29"/>
      <c r="B968" s="29"/>
      <c r="C968" s="29"/>
      <c r="D968" s="29"/>
      <c r="E968" s="35"/>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row>
    <row r="969">
      <c r="A969" s="29"/>
      <c r="B969" s="29"/>
      <c r="C969" s="29"/>
      <c r="D969" s="29"/>
      <c r="E969" s="35"/>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row>
    <row r="970">
      <c r="A970" s="29"/>
      <c r="B970" s="29"/>
      <c r="C970" s="29"/>
      <c r="D970" s="29"/>
      <c r="E970" s="35"/>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row>
    <row r="971">
      <c r="A971" s="29"/>
      <c r="B971" s="29"/>
      <c r="C971" s="29"/>
      <c r="D971" s="29"/>
      <c r="E971" s="35"/>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row>
    <row r="972">
      <c r="A972" s="29"/>
      <c r="B972" s="29"/>
      <c r="C972" s="29"/>
      <c r="D972" s="29"/>
      <c r="E972" s="35"/>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row>
    <row r="973">
      <c r="A973" s="29"/>
      <c r="B973" s="29"/>
      <c r="C973" s="29"/>
      <c r="D973" s="29"/>
      <c r="E973" s="35"/>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row>
    <row r="974">
      <c r="A974" s="29"/>
      <c r="B974" s="29"/>
      <c r="C974" s="29"/>
      <c r="D974" s="29"/>
      <c r="E974" s="35"/>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row>
    <row r="975">
      <c r="A975" s="29"/>
      <c r="B975" s="29"/>
      <c r="C975" s="29"/>
      <c r="D975" s="29"/>
      <c r="E975" s="35"/>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row>
    <row r="976">
      <c r="A976" s="29"/>
      <c r="B976" s="29"/>
      <c r="C976" s="29"/>
      <c r="D976" s="29"/>
      <c r="E976" s="35"/>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row>
    <row r="977">
      <c r="A977" s="29"/>
      <c r="B977" s="29"/>
      <c r="C977" s="29"/>
      <c r="D977" s="29"/>
      <c r="E977" s="35"/>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row>
    <row r="978">
      <c r="A978" s="29"/>
      <c r="B978" s="29"/>
      <c r="C978" s="29"/>
      <c r="D978" s="29"/>
      <c r="E978" s="35"/>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row>
    <row r="979">
      <c r="A979" s="29"/>
      <c r="B979" s="29"/>
      <c r="C979" s="29"/>
      <c r="D979" s="29"/>
      <c r="E979" s="35"/>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row>
    <row r="980">
      <c r="A980" s="29"/>
      <c r="B980" s="29"/>
      <c r="C980" s="29"/>
      <c r="D980" s="29"/>
      <c r="E980" s="35"/>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row>
    <row r="981">
      <c r="A981" s="29"/>
      <c r="B981" s="29"/>
      <c r="C981" s="29"/>
      <c r="D981" s="29"/>
      <c r="E981" s="35"/>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row>
    <row r="982">
      <c r="A982" s="29"/>
      <c r="B982" s="29"/>
      <c r="C982" s="29"/>
      <c r="D982" s="29"/>
      <c r="E982" s="35"/>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row>
    <row r="983">
      <c r="A983" s="29"/>
      <c r="B983" s="29"/>
      <c r="C983" s="29"/>
      <c r="D983" s="29"/>
      <c r="E983" s="35"/>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row>
    <row r="984">
      <c r="A984" s="29"/>
      <c r="B984" s="29"/>
      <c r="C984" s="29"/>
      <c r="D984" s="29"/>
      <c r="E984" s="35"/>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row>
    <row r="985">
      <c r="A985" s="29"/>
      <c r="B985" s="29"/>
      <c r="C985" s="29"/>
      <c r="D985" s="29"/>
      <c r="E985" s="35"/>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row>
    <row r="986">
      <c r="A986" s="29"/>
      <c r="B986" s="29"/>
      <c r="C986" s="29"/>
      <c r="D986" s="29"/>
      <c r="E986" s="35"/>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row>
    <row r="987">
      <c r="A987" s="29"/>
      <c r="B987" s="29"/>
      <c r="C987" s="29"/>
      <c r="D987" s="29"/>
      <c r="E987" s="35"/>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row>
    <row r="988">
      <c r="A988" s="29"/>
      <c r="B988" s="29"/>
      <c r="C988" s="29"/>
      <c r="D988" s="29"/>
      <c r="E988" s="35"/>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row>
    <row r="989">
      <c r="A989" s="29"/>
      <c r="B989" s="29"/>
      <c r="C989" s="29"/>
      <c r="D989" s="29"/>
      <c r="E989" s="35"/>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row>
    <row r="990">
      <c r="A990" s="29"/>
      <c r="B990" s="29"/>
      <c r="C990" s="29"/>
      <c r="D990" s="29"/>
      <c r="E990" s="35"/>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row>
    <row r="991">
      <c r="A991" s="29"/>
      <c r="B991" s="29"/>
      <c r="C991" s="29"/>
      <c r="D991" s="29"/>
      <c r="E991" s="35"/>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row>
    <row r="992">
      <c r="A992" s="29"/>
      <c r="B992" s="29"/>
      <c r="C992" s="29"/>
      <c r="D992" s="29"/>
      <c r="E992" s="35"/>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row>
    <row r="993">
      <c r="A993" s="29"/>
      <c r="B993" s="29"/>
      <c r="C993" s="29"/>
      <c r="D993" s="29"/>
      <c r="E993" s="35"/>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row>
    <row r="994">
      <c r="A994" s="29"/>
      <c r="B994" s="29"/>
      <c r="C994" s="29"/>
      <c r="D994" s="29"/>
      <c r="E994" s="35"/>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row>
    <row r="995">
      <c r="A995" s="29"/>
      <c r="B995" s="29"/>
      <c r="C995" s="29"/>
      <c r="D995" s="29"/>
      <c r="E995" s="35"/>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row>
    <row r="996">
      <c r="A996" s="29"/>
      <c r="B996" s="29"/>
      <c r="C996" s="29"/>
      <c r="D996" s="29"/>
      <c r="E996" s="35"/>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row>
    <row r="997">
      <c r="A997" s="29"/>
      <c r="B997" s="29"/>
      <c r="C997" s="29"/>
      <c r="D997" s="29"/>
      <c r="E997" s="35"/>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row>
    <row r="998">
      <c r="A998" s="29"/>
      <c r="B998" s="29"/>
      <c r="C998" s="29"/>
      <c r="D998" s="29"/>
      <c r="E998" s="35"/>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row>
    <row r="999">
      <c r="A999" s="29"/>
      <c r="B999" s="29"/>
      <c r="C999" s="29"/>
      <c r="D999" s="29"/>
      <c r="E999" s="35"/>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row>
    <row r="1000">
      <c r="A1000" s="29"/>
      <c r="B1000" s="29"/>
      <c r="C1000" s="29"/>
      <c r="D1000" s="29"/>
      <c r="E1000" s="35"/>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row>
    <row r="1001">
      <c r="A1001" s="29"/>
      <c r="B1001" s="29"/>
      <c r="C1001" s="29"/>
      <c r="D1001" s="29"/>
      <c r="E1001" s="35"/>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row>
    <row r="1002">
      <c r="A1002" s="29"/>
      <c r="B1002" s="29"/>
      <c r="C1002" s="29"/>
      <c r="D1002" s="29"/>
      <c r="E1002" s="35"/>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row>
    <row r="1003">
      <c r="A1003" s="29"/>
      <c r="B1003" s="29"/>
      <c r="C1003" s="29"/>
      <c r="D1003" s="29"/>
      <c r="E1003" s="35"/>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row>
    <row r="1004">
      <c r="A1004" s="29"/>
      <c r="B1004" s="29"/>
      <c r="C1004" s="29"/>
      <c r="D1004" s="29"/>
      <c r="E1004" s="35"/>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row>
    <row r="1005">
      <c r="A1005" s="29"/>
      <c r="B1005" s="29"/>
      <c r="C1005" s="29"/>
      <c r="D1005" s="29"/>
      <c r="E1005" s="35"/>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row>
    <row r="1006">
      <c r="A1006" s="29"/>
      <c r="B1006" s="29"/>
      <c r="C1006" s="29"/>
      <c r="D1006" s="29"/>
      <c r="E1006" s="35"/>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row>
    <row r="1007">
      <c r="A1007" s="29"/>
      <c r="B1007" s="29"/>
      <c r="C1007" s="29"/>
      <c r="D1007" s="29"/>
      <c r="E1007" s="35"/>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row>
    <row r="1008">
      <c r="A1008" s="29"/>
      <c r="B1008" s="29"/>
      <c r="C1008" s="29"/>
      <c r="D1008" s="29"/>
      <c r="E1008" s="35"/>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row>
    <row r="1009">
      <c r="A1009" s="29"/>
      <c r="B1009" s="29"/>
      <c r="C1009" s="29"/>
      <c r="D1009" s="29"/>
      <c r="E1009" s="35"/>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row>
    <row r="1010">
      <c r="A1010" s="29"/>
      <c r="B1010" s="29"/>
      <c r="C1010" s="29"/>
      <c r="D1010" s="29"/>
      <c r="E1010" s="35"/>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row>
    <row r="1011">
      <c r="A1011" s="29"/>
      <c r="B1011" s="29"/>
      <c r="C1011" s="29"/>
      <c r="D1011" s="29"/>
      <c r="E1011" s="35"/>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row>
    <row r="1012">
      <c r="A1012" s="29"/>
      <c r="B1012" s="29"/>
      <c r="C1012" s="29"/>
      <c r="D1012" s="29"/>
      <c r="E1012" s="35"/>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row>
    <row r="1013">
      <c r="A1013" s="29"/>
      <c r="B1013" s="29"/>
      <c r="C1013" s="29"/>
      <c r="D1013" s="29"/>
      <c r="E1013" s="35"/>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row>
    <row r="1014">
      <c r="A1014" s="29"/>
      <c r="B1014" s="29"/>
      <c r="C1014" s="29"/>
      <c r="D1014" s="29"/>
      <c r="E1014" s="35"/>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row>
    <row r="1015">
      <c r="A1015" s="29"/>
      <c r="B1015" s="29"/>
      <c r="C1015" s="29"/>
      <c r="D1015" s="29"/>
      <c r="E1015" s="35"/>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row>
    <row r="1016">
      <c r="A1016" s="29"/>
      <c r="B1016" s="29"/>
      <c r="C1016" s="29"/>
      <c r="D1016" s="29"/>
      <c r="E1016" s="35"/>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row>
    <row r="1017">
      <c r="A1017" s="29"/>
      <c r="B1017" s="29"/>
      <c r="C1017" s="29"/>
      <c r="D1017" s="29"/>
      <c r="E1017" s="35"/>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row>
    <row r="1018">
      <c r="A1018" s="29"/>
      <c r="B1018" s="29"/>
      <c r="C1018" s="29"/>
      <c r="D1018" s="29"/>
      <c r="E1018" s="35"/>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row>
    <row r="1019">
      <c r="A1019" s="29"/>
      <c r="B1019" s="29"/>
      <c r="C1019" s="29"/>
      <c r="D1019" s="29"/>
      <c r="E1019" s="35"/>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row>
    <row r="1020">
      <c r="A1020" s="29"/>
      <c r="B1020" s="29"/>
      <c r="C1020" s="29"/>
      <c r="D1020" s="29"/>
      <c r="E1020" s="35"/>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row>
    <row r="1021">
      <c r="A1021" s="29"/>
      <c r="B1021" s="29"/>
      <c r="C1021" s="29"/>
      <c r="D1021" s="29"/>
      <c r="E1021" s="35"/>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row>
    <row r="1022">
      <c r="A1022" s="29"/>
      <c r="B1022" s="29"/>
      <c r="C1022" s="29"/>
      <c r="D1022" s="29"/>
      <c r="E1022" s="35"/>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row>
    <row r="1023">
      <c r="A1023" s="29"/>
      <c r="B1023" s="29"/>
      <c r="C1023" s="29"/>
      <c r="D1023" s="29"/>
      <c r="E1023" s="35"/>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row>
    <row r="1024">
      <c r="A1024" s="29"/>
      <c r="B1024" s="29"/>
      <c r="C1024" s="29"/>
      <c r="D1024" s="29"/>
      <c r="E1024" s="35"/>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row>
    <row r="1025">
      <c r="A1025" s="29"/>
      <c r="B1025" s="29"/>
      <c r="C1025" s="29"/>
      <c r="D1025" s="29"/>
      <c r="E1025" s="35"/>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row>
    <row r="1026">
      <c r="A1026" s="29"/>
      <c r="B1026" s="29"/>
      <c r="C1026" s="29"/>
      <c r="D1026" s="29"/>
      <c r="E1026" s="35"/>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row>
    <row r="1027">
      <c r="A1027" s="29"/>
      <c r="B1027" s="29"/>
      <c r="C1027" s="29"/>
      <c r="D1027" s="29"/>
      <c r="E1027" s="35"/>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row>
    <row r="1028">
      <c r="A1028" s="29"/>
      <c r="B1028" s="29"/>
      <c r="C1028" s="29"/>
      <c r="D1028" s="29"/>
      <c r="E1028" s="35"/>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row>
    <row r="1029">
      <c r="A1029" s="29"/>
      <c r="B1029" s="29"/>
      <c r="C1029" s="29"/>
      <c r="D1029" s="29"/>
      <c r="E1029" s="35"/>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row>
    <row r="1030">
      <c r="A1030" s="29"/>
      <c r="B1030" s="29"/>
      <c r="C1030" s="29"/>
      <c r="D1030" s="29"/>
      <c r="E1030" s="35"/>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row>
    <row r="1031">
      <c r="A1031" s="29"/>
      <c r="B1031" s="29"/>
      <c r="C1031" s="29"/>
      <c r="D1031" s="29"/>
      <c r="E1031" s="35"/>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row>
    <row r="1032">
      <c r="A1032" s="29"/>
      <c r="B1032" s="29"/>
      <c r="C1032" s="29"/>
      <c r="D1032" s="29"/>
      <c r="E1032" s="35"/>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row>
    <row r="1033">
      <c r="A1033" s="29"/>
      <c r="B1033" s="29"/>
      <c r="C1033" s="29"/>
      <c r="D1033" s="29"/>
      <c r="E1033" s="35"/>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row>
    <row r="1034">
      <c r="A1034" s="29"/>
      <c r="B1034" s="29"/>
      <c r="C1034" s="29"/>
      <c r="D1034" s="29"/>
      <c r="E1034" s="35"/>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row>
    <row r="1035">
      <c r="A1035" s="29"/>
      <c r="B1035" s="29"/>
      <c r="C1035" s="29"/>
      <c r="D1035" s="29"/>
      <c r="E1035" s="35"/>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row>
    <row r="1036">
      <c r="A1036" s="29"/>
      <c r="B1036" s="29"/>
      <c r="C1036" s="29"/>
      <c r="D1036" s="29"/>
      <c r="E1036" s="35"/>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row>
    <row r="1037">
      <c r="A1037" s="29"/>
      <c r="B1037" s="29"/>
      <c r="C1037" s="29"/>
      <c r="D1037" s="29"/>
      <c r="E1037" s="35"/>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row>
    <row r="1038">
      <c r="A1038" s="29"/>
      <c r="B1038" s="29"/>
      <c r="C1038" s="29"/>
      <c r="D1038" s="29"/>
      <c r="E1038" s="35"/>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row>
    <row r="1039">
      <c r="A1039" s="29"/>
      <c r="B1039" s="29"/>
      <c r="C1039" s="29"/>
      <c r="D1039" s="29"/>
      <c r="E1039" s="35"/>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row>
    <row r="1040">
      <c r="A1040" s="29"/>
      <c r="B1040" s="29"/>
      <c r="C1040" s="29"/>
      <c r="D1040" s="29"/>
      <c r="E1040" s="35"/>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row>
    <row r="1041">
      <c r="A1041" s="29"/>
      <c r="B1041" s="29"/>
      <c r="C1041" s="29"/>
      <c r="D1041" s="29"/>
      <c r="E1041" s="35"/>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row>
    <row r="1042">
      <c r="A1042" s="29"/>
      <c r="B1042" s="29"/>
      <c r="C1042" s="29"/>
      <c r="D1042" s="29"/>
      <c r="E1042" s="35"/>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row>
    <row r="1043">
      <c r="A1043" s="29"/>
      <c r="B1043" s="29"/>
      <c r="C1043" s="29"/>
      <c r="D1043" s="29"/>
      <c r="E1043" s="35"/>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row>
    <row r="1044">
      <c r="A1044" s="29"/>
      <c r="B1044" s="29"/>
      <c r="C1044" s="29"/>
      <c r="D1044" s="29"/>
      <c r="E1044" s="35"/>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row>
    <row r="1045">
      <c r="A1045" s="29"/>
      <c r="B1045" s="29"/>
      <c r="C1045" s="29"/>
      <c r="D1045" s="29"/>
      <c r="E1045" s="35"/>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row>
    <row r="1046">
      <c r="A1046" s="29"/>
      <c r="B1046" s="29"/>
      <c r="C1046" s="29"/>
      <c r="D1046" s="29"/>
      <c r="E1046" s="35"/>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row>
    <row r="1047">
      <c r="A1047" s="29"/>
      <c r="B1047" s="29"/>
      <c r="C1047" s="29"/>
      <c r="D1047" s="29"/>
      <c r="E1047" s="35"/>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row>
    <row r="1048">
      <c r="A1048" s="29"/>
      <c r="B1048" s="29"/>
      <c r="C1048" s="29"/>
      <c r="D1048" s="29"/>
      <c r="E1048" s="35"/>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row>
    <row r="1049">
      <c r="A1049" s="29"/>
      <c r="B1049" s="29"/>
      <c r="C1049" s="29"/>
      <c r="D1049" s="29"/>
      <c r="E1049" s="35"/>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row>
    <row r="1050">
      <c r="A1050" s="29"/>
      <c r="B1050" s="29"/>
      <c r="C1050" s="29"/>
      <c r="D1050" s="29"/>
      <c r="E1050" s="35"/>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row>
    <row r="1051">
      <c r="A1051" s="29"/>
      <c r="B1051" s="29"/>
      <c r="C1051" s="29"/>
      <c r="D1051" s="29"/>
      <c r="E1051" s="35"/>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row>
    <row r="1052">
      <c r="A1052" s="29"/>
      <c r="B1052" s="29"/>
      <c r="C1052" s="29"/>
      <c r="D1052" s="29"/>
      <c r="E1052" s="35"/>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row>
    <row r="1053">
      <c r="A1053" s="29"/>
      <c r="B1053" s="29"/>
      <c r="C1053" s="29"/>
      <c r="D1053" s="29"/>
      <c r="E1053" s="35"/>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row>
    <row r="1054">
      <c r="A1054" s="29"/>
      <c r="B1054" s="29"/>
      <c r="C1054" s="29"/>
      <c r="D1054" s="29"/>
      <c r="E1054" s="35"/>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row>
    <row r="1055">
      <c r="A1055" s="29"/>
      <c r="B1055" s="29"/>
      <c r="C1055" s="29"/>
      <c r="D1055" s="29"/>
      <c r="E1055" s="35"/>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row>
    <row r="1056">
      <c r="A1056" s="29"/>
      <c r="B1056" s="29"/>
      <c r="C1056" s="29"/>
      <c r="D1056" s="29"/>
      <c r="E1056" s="35"/>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row>
  </sheetData>
  <autoFilter ref="$A$1:$K$210"/>
  <dataValidations>
    <dataValidation type="list" allowBlank="1" showErrorMessage="1" sqref="C128">
      <formula1>Data_Validation!$D$134:$E$134</formula1>
    </dataValidation>
    <dataValidation type="list" allowBlank="1" showErrorMessage="1" sqref="D64">
      <formula1>Data_Validation!$BP$1:$BP$99</formula1>
    </dataValidation>
    <dataValidation type="list" allowBlank="1" showErrorMessage="1" sqref="C98">
      <formula1>Data_Validation!$D$97:$E$97</formula1>
    </dataValidation>
    <dataValidation type="list" allowBlank="1" showErrorMessage="1" sqref="D77">
      <formula1>Data_Validation!$CC$1:$CC$99</formula1>
    </dataValidation>
    <dataValidation type="custom" allowBlank="1" showDropDown="1" showInputMessage="1" showErrorMessage="1" prompt="Klasa: 10-19 | Grupa: 20-29 | Postać: 30-39" sqref="E77">
      <formula1>IF($B$77="Klasa",ISBETWEEN($E$77,10,19),IF($B$77="Grupa",ISBETWEEN($E$77,20,29),IF($B$77="Postać",ISBETWEEN($E$77,30,39))))</formula1>
    </dataValidation>
    <dataValidation type="list" allowBlank="1" showErrorMessage="1" sqref="D22 D134">
      <formula1>Data_Validation!$Y$1:$Y$99</formula1>
    </dataValidation>
    <dataValidation type="list" allowBlank="1" showErrorMessage="1" sqref="D49">
      <formula1>Data_Validation!$BA$1:$BA$99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94">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64">
      <formula1>Data_Validation!$D$63:$E$63</formula1>
    </dataValidation>
    <dataValidation type="list" allowBlank="1" showErrorMessage="1" sqref="D104">
      <formula1>Data_Validation!$DE$1:$DE$99</formula1>
    </dataValidation>
    <dataValidation type="list" allowBlank="1" showErrorMessage="1" sqref="C82">
      <formula1>Data_Validation!$D$81:$E$81</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C6">
      <formula1>Data_Validation!$D$5:$E$5</formula1>
    </dataValidation>
    <dataValidation type="list" allowBlank="1" showErrorMessage="1" sqref="C35">
      <formula1>Data_Validation!$D$34:$E$34</formula1>
    </dataValidation>
    <dataValidation type="list" allowBlank="1" showErrorMessage="1" sqref="D170">
      <formula1>Data_Validation!$FY$1:$FY$99</formula1>
    </dataValidation>
    <dataValidation type="custom" allowBlank="1" showDropDown="1" showInputMessage="1" showErrorMessage="1" prompt="Klasa: 10-19 | Grupa: 20-29 | Postać: 30-39" sqref="E112">
      <formula1>IF($B$112="Klasa",ISBETWEEN($E$112,10,19),IF($B$112="Grupa",ISBETWEEN($E$112,20,29),IF($B$112="Postać",ISBETWEEN($E$112,30,39))))</formula1>
    </dataValidation>
    <dataValidation type="list" allowBlank="1" showErrorMessage="1" sqref="C118">
      <formula1>Data_Validation!$D$118:$E$118</formula1>
    </dataValidation>
    <dataValidation type="list" allowBlank="1" showErrorMessage="1" sqref="D79">
      <formula1>Data_Validation!$CE$1:$CE$99</formula1>
    </dataValidation>
    <dataValidation type="list" allowBlank="1" showErrorMessage="1" sqref="D6">
      <formula1>Data_Validation!$J$1:$J$99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69">
      <formula1>Data_Validation!$D$68:$E$68</formula1>
    </dataValidation>
    <dataValidation type="list" allowBlank="1" showErrorMessage="1" sqref="C17">
      <formula1>Data_Validation!$D$16:$E$16</formula1>
    </dataValidation>
    <dataValidation type="list" allowBlank="1" showErrorMessage="1" sqref="C124">
      <formula1>Data_Validation!$D$130:$E$130</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36:C190">
      <formula1>Data_Validation!$D$142:$E$142</formula1>
    </dataValidation>
    <dataValidation type="list" allowBlank="1" showErrorMessage="1" sqref="D159">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51">
      <formula1>Data_Validation!$BC$1:$BC$99</formula1>
    </dataValidation>
    <dataValidation type="list" allowBlank="1" showErrorMessage="1" sqref="C197 C207:C211">
      <formula1>Data_Validation!$D$199:$E$199</formula1>
    </dataValidation>
    <dataValidation type="list" allowBlank="1" showErrorMessage="1" sqref="D181">
      <formula1>Data_Validation!$GJ$1:$GJ$99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36">
      <formula1>Data_Validation!$AN$1:$AN$99</formula1>
    </dataValidation>
    <dataValidation type="list" allowBlank="1" showErrorMessage="1" sqref="D140">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list" allowBlank="1" showErrorMessage="1" sqref="C12">
      <formula1>Data_Validation!$D$11:$E$11</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34">
      <formula1>Data_Validation!$AL$1:$AL$99</formula1>
    </dataValidation>
    <dataValidation type="list" allowBlank="1" showErrorMessage="1" sqref="D128">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75">
      <formula1>Data_Validation!$D$74:$E$74</formula1>
    </dataValidation>
    <dataValidation type="list" allowBlank="1" showErrorMessage="1" sqref="C93">
      <formula1>Data_Validation!$D$92:$E$92</formula1>
    </dataValidation>
    <dataValidation type="list" allowBlank="1" showErrorMessage="1" sqref="D105">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46">
      <formula1>Data_Validation!$D$45:$E$45</formula1>
    </dataValidation>
    <dataValidation type="list" allowBlank="1" showErrorMessage="1" sqref="D112">
      <formula1>Data_Validation!$DM$1:$DM$99</formula1>
    </dataValidation>
    <dataValidation type="list" allowBlank="1" showErrorMessage="1" sqref="D162">
      <formula1>Data_Validation!$FQ$1:$FQ$99</formula1>
    </dataValidation>
    <dataValidation type="list" allowBlank="1" showErrorMessage="1" sqref="C114">
      <formula1>Data_Validation!$D$114:$E$114</formula1>
    </dataValidation>
    <dataValidation type="list" allowBlank="1" showErrorMessage="1" sqref="C132">
      <formula1>Data_Validation!$D$138:$E$138</formula1>
    </dataValidation>
    <dataValidation type="list" allowBlank="1" showErrorMessage="1" sqref="D19">
      <formula1>Data_Validation!$W$1:$W$99</formula1>
    </dataValidation>
    <dataValidation type="list" allowBlank="1" showErrorMessage="1" sqref="C41">
      <formula1>Data_Validation!$D$40:$E$40</formula1>
    </dataValidation>
    <dataValidation type="list" allowBlank="1" showErrorMessage="1" sqref="D147">
      <formula1>Data_Validation!$FB$1:$FB$99</formula1>
    </dataValidation>
    <dataValidation type="list" allowBlank="1" showErrorMessage="1" sqref="C28">
      <formula1>Data_Validation!$D$27:$E$27</formula1>
    </dataValidation>
    <dataValidation type="list" allowBlank="1" showErrorMessage="1" sqref="D92">
      <formula1>Data_Validation!$CR$1:$CR$99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list" allowBlank="1" showErrorMessage="1" sqref="C80">
      <formula1>Data_Validation!$D$79:$E$79</formula1>
    </dataValidation>
    <dataValidation type="list" allowBlank="1" showErrorMessage="1" sqref="C40">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list" allowBlank="1" showErrorMessage="1" sqref="D132">
      <formula1>Data_Validation!$EM$1:$EM$99</formula1>
    </dataValidation>
    <dataValidation type="list" allowBlank="1" showErrorMessage="1" sqref="C76">
      <formula1>Data_Validation!$D$75:$E$75</formula1>
    </dataValidation>
    <dataValidation type="list" allowBlank="1" showErrorMessage="1" sqref="C105">
      <formula1>Data_Validation!$D$105:$E$105</formula1>
    </dataValidation>
    <dataValidation type="list" allowBlank="1" showErrorMessage="1" sqref="D88">
      <formula1>Data_Validation!$CN$1:$CN$99</formula1>
    </dataValidation>
    <dataValidation type="list" allowBlank="1" showErrorMessage="1" sqref="D75">
      <formula1>Data_Validation!$CA$1:$CA$99</formula1>
    </dataValidation>
    <dataValidation type="list" allowBlank="1" showErrorMessage="1" sqref="D177">
      <formula1>Data_Validation!$GF$1:$GF$99</formula1>
    </dataValidation>
    <dataValidation type="list" allowBlank="1" showErrorMessage="1" sqref="D120">
      <formula1>Data_Validation!$DU$1:$DU$99</formula1>
    </dataValidation>
    <dataValidation type="list" allowBlank="1" showErrorMessage="1" sqref="D143">
      <formula1>Data_Validation!$EX$1:$EX$99</formula1>
    </dataValidation>
    <dataValidation type="list" allowBlank="1" showErrorMessage="1" sqref="C42">
      <formula1>Data_Validation!$D$41:$E$41</formula1>
    </dataValidation>
    <dataValidation type="custom" allowBlank="1" showDropDown="1" showInputMessage="1" prompt="Klasa: 10-19 | Grupa: 20-29 | Postać: 30-39" sqref="E14">
      <formula1>IF($B$14="Klasa",ISBETWEEN($E$14,10,19),IF($B$14="Grupa",ISBETWEEN($E$14,20,29),IF($B$14="Postać",ISBETWEEN($E$14,30,39))))</formula1>
    </dataValidation>
    <dataValidation type="list" allowBlank="1" showErrorMessage="1" sqref="D38">
      <formula1>Data_Validation!$AP$1:$AP$99</formula1>
    </dataValidation>
    <dataValidation type="list" allowBlank="1" showErrorMessage="1" sqref="D166">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7">
      <formula1>Data_Validation!$U$1:$U$99</formula1>
    </dataValidation>
    <dataValidation type="list" allowBlank="1" showErrorMessage="1" sqref="D109">
      <formula1>Data_Validation!$DJ$1:$DJ$99</formula1>
    </dataValidation>
    <dataValidation type="list" allowBlank="1" showErrorMessage="1" sqref="C57">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list" allowBlank="1" showErrorMessage="1" sqref="D10">
      <formula1>Data_Validation!$N$1:$N$99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76">
      <formula1>Data_Validation!$GE$1:$GE$99</formula1>
    </dataValidation>
    <dataValidation type="list" allowBlank="1" showErrorMessage="1" sqref="D68">
      <formula1>Data_Validation!$BT$1:$BT$99</formula1>
    </dataValidation>
    <dataValidation type="list" allowBlank="1" showErrorMessage="1" sqref="D133">
      <formula1>Data_Validation!$EN$1:$EN$99</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D187">
      <formula1>Data_Validation!$GP$1:$GP$99</formula1>
    </dataValidation>
    <dataValidation type="custom" allowBlank="1" showDropDown="1" showInputMessage="1" showErrorMessage="1" prompt="Klasa: 10-19 | Grupa: 20-29 | Postać: 30-39" sqref="E17">
      <formula1>IF($B$17="Klasa",ISBETWEEN($E$17,10,19),IF($B$17="Grupa",ISBETWEEN($E$17,20,29),IF($B$17="Postać",ISBETWEEN($E$17,30,39))))</formula1>
    </dataValidation>
    <dataValidation type="list" allowBlank="1" showErrorMessage="1" sqref="D62">
      <formula1>Data_Validation!$BN$1:$BN$99</formula1>
    </dataValidation>
    <dataValidation type="list" allowBlank="1" showErrorMessage="1" sqref="C122">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list" allowBlank="1" showErrorMessage="1" sqref="C87">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34">
      <formula1>Data_Validation!$D$33:$E$33</formula1>
    </dataValidation>
    <dataValidation type="list" allowBlank="1" showErrorMessage="1" sqref="D119">
      <formula1>Data_Validation!$DT$1:$DT$99</formula1>
    </dataValidation>
    <dataValidation type="custom" allowBlank="1" showDropDown="1" showInputMessage="1" showErrorMessage="1" prompt="Klasa: 10-19 | Grupa: 20-29 | Postać: 30-39" sqref="E136:E195 E212:E215">
      <formula1>IF($B$136="Klasa",ISBETWEEN($E$136,10,19),IF($B$136="Grupa",ISBETWEEN($E$136,20,29),IF($B$136="Postać",ISBETWEEN($E$136,30,39))))</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C68">
      <formula1>Data_Validation!$D$67:$E$67</formula1>
    </dataValidation>
    <dataValidation type="list" allowBlank="1" showErrorMessage="1" sqref="C29">
      <formula1>Data_Validation!$D$28:$E$28</formula1>
    </dataValidation>
    <dataValidation type="list" allowBlank="1" showErrorMessage="1" sqref="C53">
      <formula1>Data_Validation!$D$52:$E$52</formula1>
    </dataValidation>
    <dataValidation type="list" allowBlank="1" showErrorMessage="1" sqref="D151">
      <formula1>Data_Validation!$FF$1:$FF$99</formula1>
    </dataValidation>
    <dataValidation type="list" allowBlank="1" showErrorMessage="1" sqref="D56">
      <formula1>Data_Validation!$BH$1:$BH$99</formula1>
    </dataValidation>
    <dataValidation type="list" allowBlank="1" showErrorMessage="1" sqref="C102">
      <formula1>Data_Validation!$D$102:$E$102</formula1>
    </dataValidation>
    <dataValidation type="list" allowBlank="1" showErrorMessage="1" sqref="D30">
      <formula1>Data_Validation!$AH$1:$AH$99</formula1>
    </dataValidation>
    <dataValidation type="list" allowBlank="1" showErrorMessage="1" sqref="D158">
      <formula1>Data_Validation!$FM$1:$FM$99</formula1>
    </dataValidation>
    <dataValidation type="list" allowBlank="1" showErrorMessage="1" sqref="D55">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81">
      <formula1>Data_Validation!$CG$1:$CG$99</formula1>
    </dataValidation>
    <dataValidation type="list" allowBlank="1" showErrorMessage="1" sqref="D101">
      <formula1>Data_Validation!$DB$1:$DB$99</formula1>
    </dataValidation>
    <dataValidation type="list" allowBlank="1" showErrorMessage="1" sqref="C81">
      <formula1>Data_Validation!$D$80:$E$80</formula1>
    </dataValidation>
    <dataValidation type="list" allowBlank="1" showErrorMessage="1" sqref="D42">
      <formula1>Data_Validation!$AT$1:$AT$99</formula1>
    </dataValidation>
    <dataValidation type="list" allowBlank="1" showErrorMessage="1" sqref="C45">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list" allowBlank="1" showErrorMessage="1" sqref="D130">
      <formula1>Data_Validation!$EK$1:$EK$99</formula1>
    </dataValidation>
    <dataValidation type="list" allowBlank="1" showErrorMessage="1" sqref="C72">
      <formula1>Data_Validation!$D$71:$E$71</formula1>
    </dataValidation>
    <dataValidation type="list" allowBlank="1" showErrorMessage="1" sqref="C129">
      <formula1>Data_Validation!$D$135:$E$135</formula1>
    </dataValidation>
    <dataValidation type="list" allowBlank="1" showErrorMessage="1" sqref="D141">
      <formula1>Data_Validation!$EV$1:$EV$99</formula1>
    </dataValidation>
    <dataValidation type="list" allowBlank="1" showErrorMessage="1" sqref="D168">
      <formula1>Data_Validation!$FW$1:$FW$99</formula1>
    </dataValidation>
    <dataValidation type="list" allowBlank="1" showErrorMessage="1" sqref="D27">
      <formula1>Data_Validation!$AE$1:$AE$99</formula1>
    </dataValidation>
    <dataValidation type="list" allowBlank="1" showErrorMessage="1" sqref="C79">
      <formula1>Data_Validation!$D$78:$E$78</formula1>
    </dataValidation>
    <dataValidation type="list" allowBlank="1" showErrorMessage="1" sqref="D14">
      <formula1>Data_Validation!$R$1:$R$99</formula1>
    </dataValidation>
    <dataValidation type="list" allowBlank="1" showErrorMessage="1" sqref="C27">
      <formula1>Data_Validation!$D$26:$E$26</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31">
      <formula1>Data_Validation!$D$137:$E$137</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28">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list" allowBlank="1" showErrorMessage="1" sqref="C99">
      <formula1>Data_Validation!$D$98:$E$98</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custom" allowBlank="1" showDropDown="1" showInputMessage="1" showErrorMessage="1" prompt="Klasa: 10-19 | Grupa: 20-29 | Postać: 30-39" sqref="E12">
      <formula1>IF($B$12="Klasa",ISBETWEEN($E$12,10,19),IF($B$12="Grupa",ISBETWEEN($E$12,20,29),IF($B$12="Postać",ISBETWEEN($E$12,30,39))))</formula1>
    </dataValidation>
    <dataValidation type="list" allowBlank="1" showErrorMessage="1" sqref="D100">
      <formula1>Data_Validation!$DA$1:$DA$99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D13">
      <formula1>Data_Validation!$Q$1:$Q$99</formula1>
    </dataValidation>
    <dataValidation type="list" allowBlank="1" showErrorMessage="1" sqref="D29">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65">
      <formula1>Data_Validation!$D$64:$E$64</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C83">
      <formula1>Data_Validation!$D$82:$E$82</formula1>
    </dataValidation>
    <dataValidation type="list" allowBlank="1" showErrorMessage="1" sqref="B2:B215">
      <formula1>Data_Validation!$A$1:$A$3</formula1>
    </dataValidation>
    <dataValidation type="list" allowBlank="1" showErrorMessage="1" sqref="C38">
      <formula1>Data_Validation!$D$37:$E$37</formula1>
    </dataValidation>
    <dataValidation type="list" allowBlank="1" showErrorMessage="1" sqref="C56">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17">
      <formula1>Data_Validation!$D$117:$E$117</formula1>
    </dataValidation>
    <dataValidation type="list" allowBlank="1" showErrorMessage="1" sqref="D12">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17">
      <formula1>Data_Validation!$DR$1:$DR$99</formula1>
    </dataValidation>
    <dataValidation type="list" allowBlank="1" showErrorMessage="1" sqref="C3">
      <formula1>Data_Validation!$D$2:$E$2</formula1>
    </dataValidation>
    <dataValidation type="list" allowBlank="1" showErrorMessage="1" sqref="C31">
      <formula1>Data_Validation!$D$30:$E$30</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90">
      <formula1>Data_Validation!$D$89:$E$89</formula1>
    </dataValidation>
    <dataValidation type="list" allowBlank="1" showErrorMessage="1" sqref="C121">
      <formula1>Data_Validation!$D$121:$E$121</formula1>
    </dataValidation>
    <dataValidation type="list" allowBlank="1" showErrorMessage="1" sqref="D108">
      <formula1>Data_Validation!$DI$1:$DI$99</formula1>
    </dataValidation>
    <dataValidation type="list" allowBlank="1" showErrorMessage="1" sqref="D15">
      <formula1>Data_Validation!$S$1:$S$99</formula1>
    </dataValidation>
    <dataValidation type="list" allowBlank="1" showErrorMessage="1" sqref="C125">
      <formula1>Data_Validation!$D$131:$E$131</formula1>
    </dataValidation>
    <dataValidation type="list" allowBlank="1" showErrorMessage="1" sqref="D96">
      <formula1>Data_Validation!$CV$1:$CV$99</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list" allowBlank="1" showErrorMessage="1" sqref="C88">
      <formula1>Data_Validation!$D$87:$E$87</formula1>
    </dataValidation>
    <dataValidation type="list" allowBlank="1" showErrorMessage="1" sqref="D67">
      <formula1>Data_Validation!$BS$1:$BS$99</formula1>
    </dataValidation>
    <dataValidation type="list" allowBlank="1" showErrorMessage="1" sqref="D41">
      <formula1>Data_Validation!$AS$1:$AS$99</formula1>
    </dataValidation>
    <dataValidation type="list" allowBlank="1" showErrorMessage="1" sqref="D149">
      <formula1>Data_Validation!$FD$1:$FD$99</formula1>
    </dataValidation>
    <dataValidation type="list" allowBlank="1" showErrorMessage="1" sqref="C135 C191:C193 C212:C215">
      <formula1>Data_Validation!$D$141:$E$141</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54">
      <formula1>Data_Validation!$D$53:$E$53</formula1>
    </dataValidation>
    <dataValidation type="list" allowBlank="1" showErrorMessage="1" sqref="C107">
      <formula1>Data_Validation!$D$107:$E$107</formula1>
    </dataValidation>
    <dataValidation type="list" allowBlank="1" showErrorMessage="1" sqref="D26">
      <formula1>Data_Validation!$AD$1:$AD$99</formula1>
    </dataValidation>
    <dataValidation type="list" allowBlank="1" showErrorMessage="1" sqref="D188:D190 D192:D194">
      <formula1>Data_Validation!$GQ$1:$GQ$99</formula1>
    </dataValidation>
    <dataValidation type="custom" allowBlank="1" showDropDown="1" showInputMessage="1" showErrorMessage="1" prompt="Nie używaj średnika!" sqref="J2:K210 A2:A215 F2:H215 J212:K215">
      <formula1>ISERROR(SEARCH((";"),(A2)))</formula1>
    </dataValidation>
    <dataValidation type="list" allowBlank="1" showErrorMessage="1" sqref="C94">
      <formula1>Data_Validation!$D$93:$E$93</formula1>
    </dataValidation>
    <dataValidation type="list" allowBlank="1" showErrorMessage="1" sqref="D25">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53">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66">
      <formula1>Data_Validation!$BR$1:$BR$99</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3">
      <formula1>Data_Validation!$G$1:$G$99</formula1>
    </dataValidation>
    <dataValidation type="list" allowBlank="1" showErrorMessage="1" sqref="D16">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list" allowBlank="1" showErrorMessage="1" sqref="C104">
      <formula1>Data_Validation!$D$104:$E$104</formula1>
    </dataValidation>
    <dataValidation type="list" allowBlank="1" showErrorMessage="1" sqref="D139">
      <formula1>Data_Validation!$ET$1:$ET$99</formula1>
    </dataValidation>
    <dataValidation type="list" allowBlank="1" showErrorMessage="1" sqref="C101">
      <formula1>Data_Validation!$D$101:$E$101</formula1>
    </dataValidation>
    <dataValidation type="list" allowBlank="1" showErrorMessage="1" sqref="D39">
      <formula1>Data_Validation!$AQ$1:$AQ$99</formula1>
    </dataValidation>
    <dataValidation type="list" allowBlank="1" showErrorMessage="1" sqref="C77">
      <formula1>Data_Validation!$D$76:$E$76</formula1>
    </dataValidation>
    <dataValidation type="list" allowBlank="1" showErrorMessage="1" sqref="C39">
      <formula1>Data_Validation!$D$38:$E$38</formula1>
    </dataValidation>
    <dataValidation type="list" allowBlank="1" showErrorMessage="1" sqref="D99">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D90">
      <formula1>Data_Validation!$CP$1:$CP$99</formula1>
    </dataValidation>
    <dataValidation type="list" allowBlank="1" showErrorMessage="1" sqref="D115">
      <formula1>Data_Validation!$DP$1:$DP$99</formula1>
    </dataValidation>
    <dataValidation type="list" allowBlank="1" showErrorMessage="1" sqref="C43">
      <formula1>Data_Validation!$D$42:$E$42</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2 E134">
      <formula1>IF($B$22="Klasa",ISBETWEEN($E$22,10,19),IF($B$22="Grupa",ISBETWEEN($E$22,20,29),IF($B$22="Postać",ISBETWEEN($E$22,30,39))))</formula1>
    </dataValidation>
    <dataValidation type="custom" allowBlank="1" showDropDown="1" showInputMessage="1" showErrorMessage="1" prompt="Klasa: 10-19 | Grupa: 20-29 | Postać: 30-39" sqref="E123">
      <formula1>IF($B$123="Klasa",ISBETWEEN($E$123,10,19),IF($B$123="Grupa",ISBETWEEN($E$123,20,29),IF($B$123="Postać",ISBETWEEN($E$123,30,39))))</formula1>
    </dataValidation>
    <dataValidation type="list" allowBlank="1" showErrorMessage="1" sqref="D40">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list" allowBlank="1" showErrorMessage="1" sqref="D129">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196 C198:C206">
      <formula1>Data_Validation!$D$198:$E$198</formula1>
    </dataValidation>
    <dataValidation type="list" allowBlank="1" showErrorMessage="1" sqref="D106">
      <formula1>Data_Validation!$DG$1:$DG$99</formula1>
    </dataValidation>
    <dataValidation type="list" allowBlank="1" showErrorMessage="1" sqref="D91">
      <formula1>Data_Validation!$CQ$1:$CQ$99</formula1>
    </dataValidation>
    <dataValidation type="list" allowBlank="1" showErrorMessage="1" sqref="C16">
      <formula1>Data_Validation!$D$15:$E$15</formula1>
    </dataValidation>
    <dataValidation type="list" allowBlank="1" showErrorMessage="1" sqref="C66">
      <formula1>Data_Validation!$D$65:$E$65</formula1>
    </dataValidation>
    <dataValidation type="list" allowBlank="1" showErrorMessage="1" sqref="C50">
      <formula1>Data_Validation!$D$49:$E$49</formula1>
    </dataValidation>
    <dataValidation type="list" allowBlank="1" showErrorMessage="1" sqref="C9">
      <formula1>Data_Validation!$D$8:$E$8</formula1>
    </dataValidation>
    <dataValidation type="list" allowBlank="1" showErrorMessage="1" sqref="C71">
      <formula1>Data_Validation!$D$70:$E$70</formula1>
    </dataValidation>
    <dataValidation type="list" allowBlank="1" showErrorMessage="1" sqref="D98">
      <formula1>Data_Validation!$CX$1:$CX$99</formula1>
    </dataValidation>
    <dataValidation type="list" allowBlank="1" showErrorMessage="1" sqref="D78">
      <formula1>Data_Validation!$CD$1:$CD$99</formula1>
    </dataValidation>
    <dataValidation type="list" allowBlank="1" showErrorMessage="1" sqref="D52">
      <formula1>Data_Validation!$BD$1:$BD$99</formula1>
    </dataValidation>
    <dataValidation type="list" allowBlank="1" showErrorMessage="1" sqref="D116">
      <formula1>Data_Validation!$DQ$1:$DQ$99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list" allowBlank="1" showErrorMessage="1" sqref="C32">
      <formula1>Data_Validation!$D$31:$E$31</formula1>
    </dataValidation>
    <dataValidation type="list" allowBlank="1" showErrorMessage="1" sqref="C89">
      <formula1>Data_Validation!$D$88:$E$88</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custom" allowBlank="1" showDropDown="1" showInputMessage="1" showErrorMessage="1" prompt="Klasa: 10-19 | Grupa: 20-29 | Postać: 30-39" sqref="E198:E206">
      <formula1>IF($B$198="Klasa",ISBETWEEN($E$198,10,19),IF($B$198="Grupa",ISBETWEEN($E$198,20,29),IF($B$198="Postać",ISBETWEEN($E$198,30,39))))</formula1>
    </dataValidation>
    <dataValidation type="list" allowBlank="1" showErrorMessage="1" sqref="D186">
      <formula1>Data_Validation!$GO$1:$GO$99</formula1>
    </dataValidation>
    <dataValidation type="list" allowBlank="1" showErrorMessage="1" sqref="D93">
      <formula1>Data_Validation!$CS$1:$CS$99</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20:D21">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C126">
      <formula1>Data_Validation!$D$132:$E$132</formula1>
    </dataValidation>
    <dataValidation type="list" allowBlank="1" showErrorMessage="1" sqref="D65">
      <formula1>Data_Validation!$BQ$1:$BQ$99</formula1>
    </dataValidation>
    <dataValidation type="list" allowBlank="1" showErrorMessage="1" sqref="D118">
      <formula1>Data_Validation!$DS$1:$DS$99</formula1>
    </dataValidation>
    <dataValidation type="list" allowBlank="1" showErrorMessage="1" sqref="C55">
      <formula1>Data_Validation!$D$54:$E$54</formula1>
    </dataValidation>
    <dataValidation type="list" allowBlank="1" showErrorMessage="1" sqref="D107">
      <formula1>Data_Validation!$DH$1:$DH$99</formula1>
    </dataValidation>
    <dataValidation type="list" allowBlank="1" showErrorMessage="1" sqref="D196">
      <formula1>Data_Validation!$GS$1:$GS$99</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76">
      <formula1>Data_Validation!$CB$1:$CB$99</formula1>
    </dataValidation>
    <dataValidation type="list" allowBlank="1" showErrorMessage="1" sqref="C10">
      <formula1>Data_Validation!$D$9:$E$9</formula1>
    </dataValidation>
    <dataValidation type="list" allowBlank="1" showErrorMessage="1" sqref="D50">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97">
      <formula1>Data_Validation!$CW$1:$CW$99</formula1>
    </dataValidation>
    <dataValidation type="list" allowBlank="1" showErrorMessage="1" sqref="C73">
      <formula1>Data_Validation!$D$72:$E$72</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95">
      <formula1>Data_Validation!$D$197:$E$197</formula1>
    </dataValidation>
    <dataValidation type="list" allowBlank="1" showErrorMessage="1" sqref="C22 C134">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26">
      <formula1>Data_Validation!$D$25:$E$25</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35">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C78">
      <formula1>Data_Validation!$D$77:$E$77</formula1>
    </dataValidation>
    <dataValidation type="list" allowBlank="1" showErrorMessage="1" sqref="C91">
      <formula1>Data_Validation!$D$90:$E$90</formula1>
    </dataValidation>
    <dataValidation type="list" allowBlank="1" showErrorMessage="1" sqref="D131">
      <formula1>Data_Validation!$EL$1:$EL$99</formula1>
    </dataValidation>
    <dataValidation type="list" allowBlank="1" showErrorMessage="1" sqref="D7">
      <formula1>Data_Validation!$K$1:$K$99</formula1>
    </dataValidation>
    <dataValidation type="list" allowBlank="1" showErrorMessage="1" sqref="C96">
      <formula1>Data_Validation!$D$95:$E$95</formula1>
    </dataValidation>
    <dataValidation type="list" allowBlank="1" showErrorMessage="1" sqref="D137">
      <formula1>Data_Validation!$ER$1:$ER$99</formula1>
    </dataValidation>
    <dataValidation type="list" allowBlank="1" showErrorMessage="1" sqref="D95">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C120">
      <formula1>Data_Validation!$D$120:$E$120</formula1>
    </dataValidation>
    <dataValidation type="list" allowBlank="1" showErrorMessage="1" sqref="D121">
      <formula1>Data_Validation!$DV$1:$DV$99</formula1>
    </dataValidation>
    <dataValidation type="list" allowBlank="1" showErrorMessage="1" sqref="D80">
      <formula1>Data_Validation!$CF$1:$CF$99</formula1>
    </dataValidation>
    <dataValidation type="list" allowBlank="1" showErrorMessage="1" sqref="D178">
      <formula1>Data_Validation!$GG$1:$GG$99</formula1>
    </dataValidation>
    <dataValidation type="list" allowBlank="1" showErrorMessage="1" sqref="C2">
      <formula1>Data_Validation!$D$1:$E$1</formula1>
    </dataValidation>
    <dataValidation type="list" allowBlank="1" showErrorMessage="1" sqref="C44">
      <formula1>Data_Validation!$D$43:$E$43</formula1>
    </dataValidation>
    <dataValidation type="list" allowBlank="1" showErrorMessage="1" sqref="D207:D209 D211">
      <formula1>Data_Validation!$GV$1:$GV$99</formula1>
    </dataValidation>
    <dataValidation type="list" allowBlank="1" showErrorMessage="1" sqref="C62">
      <formula1>Data_Validation!$D$61:$E$61</formula1>
    </dataValidation>
    <dataValidation type="list" allowBlank="1" showErrorMessage="1" sqref="D153">
      <formula1>Data_Validation!$FH$1:$FH$99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list" allowBlank="1" showErrorMessage="1" sqref="D156">
      <formula1>Data_Validation!$FK$1:$FK$99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list" allowBlank="1" showErrorMessage="1" sqref="D63">
      <formula1>Data_Validation!$BO$1:$BO$99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C15">
      <formula1>Data_Validation!$D$14:$E$14</formula1>
    </dataValidation>
    <dataValidation type="list" allowBlank="1" showErrorMessage="1" sqref="D23">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custom" allowBlank="1" showDropDown="1" showInputMessage="1" showErrorMessage="1" prompt="Klasa: 10-19 | Grupa: 20-29 | Postać: 30-39" sqref="E11">
      <formula1>IF($B$11="Klasa",ISBETWEEN($E$11,10,19),IF($B$11="Grupa",ISBETWEEN($E$11,20,29),IF($B$11="Postać",ISBETWEEN($E$11,30,39))))</formula1>
    </dataValidation>
    <dataValidation type="list" allowBlank="1" showErrorMessage="1" sqref="D175">
      <formula1>Data_Validation!$GD$1:$GD$99</formula1>
    </dataValidation>
    <dataValidation type="list" allowBlank="1" showErrorMessage="1" sqref="C123">
      <formula1>Data_Validation!$D$124:$E$124</formula1>
    </dataValidation>
    <dataValidation type="list" allowBlank="1" showErrorMessage="1" sqref="D48">
      <formula1>Data_Validation!$AZ$1:$AZ$99</formula1>
    </dataValidation>
    <dataValidation type="list" allowBlank="1" showErrorMessage="1" sqref="C67">
      <formula1>Data_Validation!$D$66:$E$66</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49">
      <formula1>Data_Validation!$D$48:$E$48</formula1>
    </dataValidation>
    <dataValidation type="list" allowBlank="1" showErrorMessage="1" sqref="D180">
      <formula1>Data_Validation!$GI$1:$GI$99</formula1>
    </dataValidation>
    <dataValidation type="list" allowBlank="1" showErrorMessage="1" sqref="D31">
      <formula1>Data_Validation!$AI$1:$AI$99</formula1>
    </dataValidation>
    <dataValidation type="list" allowBlank="1" showErrorMessage="1" sqref="C33">
      <formula1>Data_Validation!$D$32:$E$32</formula1>
    </dataValidation>
    <dataValidation type="list" allowBlank="1" showErrorMessage="1" sqref="C14">
      <formula1>Data_Validation!$D$13:$E$13</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89">
      <formula1>Data_Validation!$CO$1:$CO$99</formula1>
    </dataValidation>
    <dataValidation type="list" allowBlank="1" showErrorMessage="1" sqref="D54">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D82">
      <formula1>Data_Validation!$CH$1:$CH$99</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C108">
      <formula1>Data_Validation!$D$108:$E$108</formula1>
    </dataValidation>
    <dataValidation type="list" allowBlank="1" showErrorMessage="1" sqref="C95">
      <formula1>Data_Validation!$D$94:$E$94</formula1>
    </dataValidation>
    <dataValidation type="list" allowBlank="1" showErrorMessage="1" sqref="D161">
      <formula1>Data_Validation!$FP$1:$FP$99</formula1>
    </dataValidation>
    <dataValidation type="list" allowBlank="1" showErrorMessage="1" sqref="D61">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50">
      <formula1>Data_Validation!$FE$1:$FE$99</formula1>
    </dataValidation>
    <dataValidation type="list" allowBlank="1" showInputMessage="1" prompt="Nie martw się, to nie błąd." sqref="I2:I215">
      <formula1>Data_Validation!$A$7:$A$20</formula1>
    </dataValidation>
    <dataValidation type="list" allowBlank="1" showErrorMessage="1" sqref="D87">
      <formula1>Data_Validation!$CM$1:$CM$99</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48">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C61">
      <formula1>Data_Validation!$D$60:$E$60</formula1>
    </dataValidation>
    <dataValidation type="list" allowBlank="1" showErrorMessage="1" sqref="D24">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102">
      <formula1>Data_Validation!$DC$1:$DC$99</formula1>
    </dataValidation>
    <dataValidation type="list" allowBlank="1" showErrorMessage="1" sqref="D148">
      <formula1>Data_Validation!$FC$1:$FC$99</formula1>
    </dataValidation>
    <dataValidation type="list" allowBlank="1" showErrorMessage="1" sqref="D18">
      <formula1>Data_Validation!$V$1:$V$99</formula1>
    </dataValidation>
    <dataValidation type="list" allowBlank="1" showErrorMessage="1" sqref="C92">
      <formula1>Data_Validation!$D$91:$E$91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C60">
      <formula1>Data_Validation!$D$59:$E$59</formula1>
    </dataValidation>
    <dataValidation type="list" allowBlank="1" showErrorMessage="1" sqref="C23">
      <formula1>Data_Validation!$D$21:$E$21</formula1>
    </dataValidation>
    <dataValidation type="list" allowBlank="1" showErrorMessage="1" sqref="C5">
      <formula1>Data_Validation!$D$4:$E$4</formula1>
    </dataValidation>
    <dataValidation type="list" allowBlank="1" showErrorMessage="1" sqref="D142">
      <formula1>Data_Validation!$EW$1:$EW$99</formula1>
    </dataValidation>
    <dataValidation type="list" allowBlank="1" showErrorMessage="1" sqref="D69">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list" allowBlank="1" showErrorMessage="1" sqref="C115">
      <formula1>Data_Validation!$D$115:$E$115</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67">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79">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84">
      <formula1>Data_Validation!$D$83:$E$83</formula1>
    </dataValidation>
    <dataValidation type="list" allowBlank="1" showErrorMessage="1" sqref="C37">
      <formula1>Data_Validation!$D$36:$E$36</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10">
      <formula1>Data_Validation!$DK$1:$DK$99</formula1>
    </dataValidation>
    <dataValidation type="list" allowBlank="1" showErrorMessage="1" sqref="D74">
      <formula1>Data_Validation!$BZ$1:$BZ$99</formula1>
    </dataValidation>
    <dataValidation type="list" allowBlank="1" showErrorMessage="1" sqref="D169">
      <formula1>Data_Validation!$FX$1:$FX$99</formula1>
    </dataValidation>
    <dataValidation type="list" allowBlank="1" showErrorMessage="1" sqref="D11">
      <formula1>Data_Validation!$O$1:$O$99</formula1>
    </dataValidation>
    <dataValidation type="list" allowBlank="1" showErrorMessage="1" sqref="D160">
      <formula1>Data_Validation!$FO$1:$FO$99</formula1>
    </dataValidation>
    <dataValidation type="list" allowBlank="1" showErrorMessage="1" sqref="D2">
      <formula1>Data_Validation!$F$1:$F$99</formula1>
    </dataValidation>
    <dataValidation type="list" allowBlank="1" showErrorMessage="1" sqref="D37">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27">
      <formula1>Data_Validation!$EH$1:$EH$99</formula1>
    </dataValidation>
    <dataValidation type="list" allowBlank="1" showErrorMessage="1" sqref="C11">
      <formula1>Data_Validation!$D$10:$E$10</formula1>
    </dataValidation>
    <dataValidation type="list" allowBlank="1" showErrorMessage="1" sqref="C36">
      <formula1>Data_Validation!$D$35:$E$35</formula1>
    </dataValidation>
    <dataValidation type="list" allowBlank="1" showErrorMessage="1" sqref="D182">
      <formula1>Data_Validation!$GK$1:$GK$99</formula1>
    </dataValidation>
    <dataValidation type="custom" allowBlank="1" showDropDown="1" showInputMessage="1" showErrorMessage="1" prompt="Klasa: 10-19 | Grupa: 20-29 | Postać: 30-39" sqref="E20:E21">
      <formula1>IF($B$20="Klasa",ISBETWEEN($E$20,10,19),IF($B$20="Grupa",ISBETWEEN($E$20,20,29),IF($B$20="Postać",ISBETWEEN($E$20,30,39))))</formula1>
    </dataValidation>
    <dataValidation type="list" allowBlank="1" showErrorMessage="1" sqref="D138">
      <formula1>Data_Validation!$ES$1:$ES$99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122">
      <formula1>Data_Validation!$DW$1:$DW$99</formula1>
    </dataValidation>
    <dataValidation type="list" allowBlank="1" showErrorMessage="1" sqref="D43">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70">
      <formula1>Data_Validation!$D$69:$E$69</formula1>
    </dataValidation>
    <dataValidation type="list" allowBlank="1" showErrorMessage="1" sqref="D71">
      <formula1>Data_Validation!$BW$1:$BW$99</formula1>
    </dataValidation>
    <dataValidation type="list" allowBlank="1" showErrorMessage="1" sqref="C127">
      <formula1>Data_Validation!$D$133:$E$133</formula1>
    </dataValidation>
    <dataValidation type="list" allowBlank="1" showErrorMessage="1" sqref="C18">
      <formula1>Data_Validation!$D$17:$E$17</formula1>
    </dataValidation>
    <dataValidation type="list" allowBlank="1" showErrorMessage="1" sqref="D152">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72">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8">
      <formula1>Data_Validation!$D$7:$E$7</formula1>
    </dataValidation>
    <dataValidation type="list" allowBlank="1" showErrorMessage="1" sqref="D157">
      <formula1>Data_Validation!$FL$1:$FL$99</formula1>
    </dataValidation>
    <dataValidation type="list" allowBlank="1" showErrorMessage="1" sqref="D111">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63">
      <formula1>Data_Validation!$FR$1:$FR$99</formula1>
    </dataValidation>
    <dataValidation type="list" allowBlank="1" showErrorMessage="1" sqref="D174">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46">
      <formula1>Data_Validation!$FA$1:$FA$99</formula1>
    </dataValidation>
    <dataValidation type="list" allowBlank="1" showErrorMessage="1" sqref="D57">
      <formula1>Data_Validation!$BI$1:$BI$99</formula1>
    </dataValidation>
    <dataValidation type="list" allowBlank="1" showErrorMessage="1" sqref="D135 D191 D210 D212:D215">
      <formula1>Data_Validation!$EP$1:$EP$99</formula1>
    </dataValidation>
    <dataValidation type="list" allowBlank="1" showErrorMessage="1" sqref="D86">
      <formula1>Data_Validation!$CL$1:$CL$99</formula1>
    </dataValidation>
    <dataValidation type="list" allowBlank="1" showErrorMessage="1" sqref="D73">
      <formula1>Data_Validation!$BY$1:$BY$99</formula1>
    </dataValidation>
    <dataValidation type="list" allowBlank="1" showErrorMessage="1" sqref="D185">
      <formula1>Data_Validation!$GN$1:$GN$99</formula1>
    </dataValidation>
    <dataValidation type="list" allowBlank="1" showErrorMessage="1" sqref="C20:C21">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D4">
      <formula1>Data_Validation!$H$1:$H$99</formula1>
    </dataValidation>
    <dataValidation type="custom" allowBlank="1" showDropDown="1" showInputMessage="1" showErrorMessage="1" prompt="Klasa: 10-19 | Grupa: 20-29 | Postać: 30-39" sqref="E111">
      <formula1>IF($B$111="Klasa",ISBETWEEN($E$111,10,19),IF($B$111="Grupa",ISBETWEEN($E$111,20,29),IF($B$111="Postać",ISBETWEEN($E$111,30,39))))</formula1>
    </dataValidation>
    <dataValidation type="list" allowBlank="1" showErrorMessage="1" sqref="D124">
      <formula1>Data_Validation!$EE$1:$EE$99</formula1>
    </dataValidation>
    <dataValidation type="list" allowBlank="1" showErrorMessage="1" sqref="D58">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list" allowBlank="1" showErrorMessage="1" sqref="D195">
      <formula1>Data_Validation!$GR$1:$GR$99</formula1>
    </dataValidation>
    <dataValidation type="list" allowBlank="1" showErrorMessage="1" sqref="C25">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list" allowBlank="1" showErrorMessage="1" sqref="C59">
      <formula1>Data_Validation!$D$58:$E$58</formula1>
    </dataValidation>
    <dataValidation type="list" allowBlank="1" showErrorMessage="1" sqref="C194">
      <formula1>Data_Validation!$D$196:$E$196</formula1>
    </dataValidation>
    <dataValidation type="list" allowBlank="1" showErrorMessage="1" sqref="D103">
      <formula1>Data_Validation!$DD$1:$DD$99</formula1>
    </dataValidation>
    <dataValidation type="list" allowBlank="1" showErrorMessage="1" sqref="C7">
      <formula1>Data_Validation!$D$6:$E$6</formula1>
    </dataValidation>
    <dataValidation type="custom" allowBlank="1" showDropDown="1" showInputMessage="1" showErrorMessage="1" prompt="Klasa: 10-19 | Grupa: 20-29 | Postać: 30-39" sqref="E55">
      <formula1>IF($B$55="Klasa",ISBETWEEN($E$55,10,19),IF($B$55="Grupa",ISBETWEEN($E$55,20,29),IF($B$55="Postać",ISBETWEEN($E$55,30,39))))</formula1>
    </dataValidation>
    <dataValidation type="list" allowBlank="1" showErrorMessage="1" sqref="D85">
      <formula1>Data_Validation!$CK$1:$CK$99</formula1>
    </dataValidation>
    <dataValidation type="list" allowBlank="1" showErrorMessage="1" sqref="D44">
      <formula1>Data_Validation!$AV$1:$AV$99</formula1>
    </dataValidation>
    <dataValidation type="list" allowBlank="1" showErrorMessage="1" sqref="D171">
      <formula1>Data_Validation!$FZ$1:$FZ$99</formula1>
    </dataValidation>
    <dataValidation type="list" allowBlank="1" showErrorMessage="1" sqref="C100">
      <formula1>Data_Validation!$D$100:$E$100</formula1>
    </dataValidation>
    <dataValidation type="list" allowBlank="1" showErrorMessage="1" sqref="D5">
      <formula1>Data_Validation!$I$1:$I$99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70">
      <formula1>Data_Validation!$BV$1:$BV$99</formula1>
    </dataValidation>
    <dataValidation type="list" allowBlank="1" showErrorMessage="1" sqref="C58">
      <formula1>Data_Validation!$D$57:$E$57</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C110:C112">
      <formula1>Data_Validation!$D$110:$E$110</formula1>
    </dataValidation>
    <dataValidation type="list" allowBlank="1" showErrorMessage="1" sqref="D184">
      <formula1>Data_Validation!$GM$1:$GM$99</formula1>
    </dataValidation>
    <dataValidation type="list" allowBlank="1" showErrorMessage="1" sqref="D136">
      <formula1>Data_Validation!$EQ$1:$EQ$99</formula1>
    </dataValidation>
    <dataValidation type="list" allowBlank="1" showErrorMessage="1" sqref="D125">
      <formula1>Data_Validation!$EF$1:$EF$99</formula1>
    </dataValidation>
    <dataValidation type="list" allowBlank="1" showErrorMessage="1" sqref="D9">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85">
      <formula1>Data_Validation!$D$84:$E$84</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51">
      <formula1>Data_Validation!$D$50:$E$50</formula1>
    </dataValidation>
    <dataValidation type="list" allowBlank="1" showErrorMessage="1" sqref="D123">
      <formula1>Data_Validation!$DY$1:$DY$99</formula1>
    </dataValidation>
    <dataValidation type="list" allowBlank="1" showErrorMessage="1" sqref="C103">
      <formula1>Data_Validation!$D$103:$E$103</formula1>
    </dataValidation>
    <dataValidation type="list" allowBlank="1" showErrorMessage="1" sqref="D32">
      <formula1>Data_Validation!$AJ$1:$AJ$99</formula1>
    </dataValidation>
    <dataValidation type="list" allowBlank="1" showErrorMessage="1" sqref="D198:D206">
      <formula1>Data_Validation!$GU$1:$GU$99</formula1>
    </dataValidation>
    <dataValidation type="list" allowBlank="1" showErrorMessage="1" sqref="D60">
      <formula1>Data_Validation!$BL$1:$BL$99</formula1>
    </dataValidation>
    <dataValidation type="list" allowBlank="1" showErrorMessage="1" sqref="D154">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13">
      <formula1>Data_Validation!$D$113:$E$113</formula1>
    </dataValidation>
    <dataValidation type="list" allowBlank="1" showErrorMessage="1" sqref="D155">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83">
      <formula1>Data_Validation!$CI$1:$CI$99</formula1>
    </dataValidation>
    <dataValidation type="list" allowBlank="1" showErrorMessage="1" sqref="D113">
      <formula1>Data_Validation!$DN$1:$DN$99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65">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86">
      <formula1>Data_Validation!$D$85:$E$85</formula1>
    </dataValidation>
    <dataValidation type="list" allowBlank="1" showErrorMessage="1" sqref="C106">
      <formula1>Data_Validation!$D$106:$E$106</formula1>
    </dataValidation>
    <dataValidation type="list" allowBlank="1" showErrorMessage="1" sqref="D144">
      <formula1>Data_Validation!$EY$1:$EY$99</formula1>
    </dataValidation>
    <dataValidation type="list" allowBlank="1" showErrorMessage="1" sqref="D172">
      <formula1>Data_Validation!$GA$1:$GA$99</formula1>
    </dataValidation>
    <dataValidation type="custom" allowBlank="1" showDropDown="1" showInputMessage="1" showErrorMessage="1" prompt="Klasa: 10-19 | Grupa: 20-29 | Postać: 30-39" sqref="E74">
      <formula1>IF($B$74="Klasa",ISBETWEEN(#REF!,10,19),IF($B$74="Grupa",ISBETWEEN(#REF!,20,29),IF($B$74="Postać",ISBETWEEN(#REF!,30,39))))</formula1>
    </dataValidation>
    <dataValidation type="list" allowBlank="1" showErrorMessage="1" sqref="C13">
      <formula1>Data_Validation!$D$12:$E$12</formula1>
    </dataValidation>
    <dataValidation type="list" allowBlank="1" showErrorMessage="1" sqref="D46">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
      <formula1>IF($B$122="Klasa",ISBETWEEN($E$122,10,19),IF($B$122="Grupa",ISBETWEEN($E$122,20,29),IF($B$122="Postać",ISBETWEEN($E$122,30,39))))</formula1>
    </dataValidation>
    <dataValidation type="list" allowBlank="1" showErrorMessage="1" sqref="C52">
      <formula1>Data_Validation!$D$51:$E$51</formula1>
    </dataValidation>
    <dataValidation type="list" allowBlank="1" showErrorMessage="1" sqref="C30">
      <formula1>Data_Validation!$D$29:$E$29</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74">
      <formula1>Data_Validation!$D$73:$E$73</formula1>
    </dataValidation>
    <dataValidation type="list" allowBlank="1" showErrorMessage="1" sqref="D84">
      <formula1>Data_Validation!$CJ$1:$CJ$99</formula1>
    </dataValidation>
    <dataValidation type="list" allowBlank="1" showErrorMessage="1" sqref="D126">
      <formula1>Data_Validation!$EG$1:$EG$99</formula1>
    </dataValidation>
    <dataValidation type="list" allowBlank="1" showErrorMessage="1" sqref="C47">
      <formula1>Data_Validation!$D$46:$E$46</formula1>
    </dataValidation>
    <dataValidation type="list" allowBlank="1" showErrorMessage="1" sqref="D183">
      <formula1>Data_Validation!$GL$1:$GL$99</formula1>
    </dataValidation>
    <dataValidation type="list" allowBlank="1" showErrorMessage="1" sqref="D47">
      <formula1>Data_Validation!$AY$1:$AY$99</formula1>
    </dataValidation>
    <dataValidation type="list" allowBlank="1" showErrorMessage="1" sqref="C4">
      <formula1>Data_Validation!$D$3:$E$3</formula1>
    </dataValidation>
    <dataValidation type="list" allowBlank="1" showErrorMessage="1" sqref="C133">
      <formula1>Data_Validation!$D$139:$E$139</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45">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D197">
      <formula1>Data_Validation!$GT$1:$GT$99</formula1>
    </dataValidation>
    <dataValidation type="list" allowBlank="1" showErrorMessage="1" sqref="C116">
      <formula1>Data_Validation!$D$116:$E$116</formula1>
    </dataValidation>
    <dataValidation type="list" allowBlank="1" showErrorMessage="1" sqref="D8">
      <formula1>Data_Validation!$L$1:$L$99</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custom" allowBlank="1" showDropDown="1" showInputMessage="1" showErrorMessage="1" prompt="Klasa: 10-19 | Grupa: 20-29 | Postać: 30-39" sqref="E207:E211">
      <formula1>IF($B$207="Klasa",ISBETWEEN($E$207,10,19),IF($B$207="Grupa",ISBETWEEN($E$207,20,29),IF($B$207="Postać",ISBETWEEN($E$207,30,39))))</formula1>
    </dataValidation>
    <dataValidation type="list" allowBlank="1" showErrorMessage="1" sqref="C97">
      <formula1>Data_Validation!$D$96:$E$96</formula1>
    </dataValidation>
    <dataValidation type="list" allowBlank="1" showErrorMessage="1" sqref="D164">
      <formula1>Data_Validation!$FS$1:$FS$99</formula1>
    </dataValidation>
    <dataValidation type="list" allowBlank="1" showErrorMessage="1" sqref="C109">
      <formula1>Data_Validation!$D$109:$E$109</formula1>
    </dataValidation>
    <dataValidation type="list" allowBlank="1" showErrorMessage="1" sqref="C24">
      <formula1>Data_Validation!$D$23:$E$23</formula1>
    </dataValidation>
    <dataValidation type="list" allowBlank="1" showErrorMessage="1" sqref="D33">
      <formula1>Data_Validation!$AK$1:$AK$99</formula1>
    </dataValidation>
    <dataValidation type="list" allowBlank="1" showErrorMessage="1" sqref="D145">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list" allowBlank="1" showErrorMessage="1" sqref="C130">
      <formula1>Data_Validation!$D$136:$E$136</formula1>
    </dataValidation>
    <dataValidation type="custom" allowBlank="1" showDropDown="1" showInputMessage="1" showErrorMessage="1" prompt="Klasa: 10-19 | Grupa: 20-29 | Postać: 30-39" sqref="E13">
      <formula1>IF($B$13="Klasa",ISBETWEEN($E$13,10,19),IF($B$13="Grupa",ISBETWEEN($E$13,20,29),IF($B$13="Postać",ISBETWEEN($E$13,30,39))))</formula1>
    </dataValidation>
    <dataValidation type="list" allowBlank="1" showErrorMessage="1" sqref="C19">
      <formula1>Data_Validation!$D$18:$E$18</formula1>
    </dataValidation>
    <dataValidation type="list" allowBlank="1" showErrorMessage="1" sqref="C63">
      <formula1>Data_Validation!$D$62:$E$62</formula1>
    </dataValidation>
    <dataValidation type="list" allowBlank="1" showErrorMessage="1" sqref="D114">
      <formula1>Data_Validation!$DO$1:$DO$99</formula1>
    </dataValidation>
    <dataValidation type="list" allowBlank="1" showErrorMessage="1" sqref="C119">
      <formula1>Data_Validation!$D$119:$E$119</formula1>
    </dataValidation>
    <dataValidation type="list" allowBlank="1" showErrorMessage="1" sqref="D173">
      <formula1>Data_Validation!$GB$1:$GB$99</formula1>
    </dataValidation>
    <dataValidation type="list" allowBlank="1" showErrorMessage="1" sqref="D59">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50" t="s">
        <v>204</v>
      </c>
      <c r="B1" s="51" t="s">
        <v>191</v>
      </c>
      <c r="C1" s="52"/>
      <c r="D1" s="53" t="str">
        <f t="array" ref="D1">IF('Wątki'!B2=$A$1,INDIRECT("Klasa"),IF('Wątki'!B2=$A$2,INDIRECT("Grupa"),IF('Wątki'!B2=$A$3,INDIRECT("Postać"),"Nie")))</f>
        <v>Nie</v>
      </c>
      <c r="E1" s="53"/>
      <c r="F1" s="54" t="str">
        <f t="array" ref="F1:F60">IF('Wątki'!$B2=$A$1,INDIRECT("KlasaNazwa"),IF('Wątki'!$B2=$A$2,INDIRECT("GrupaNazwa"),IF('Wątki'!$B2=$A$3,INDIRECT("PostaćNazwa"))))</f>
        <v>Jurgen</v>
      </c>
      <c r="G1" s="54" t="str">
        <f t="array" ref="G1:G60">IF('Wątki'!$B3=$A$1,INDIRECT("KlasaNazwa"),IF('Wątki'!$B3=$A$2,INDIRECT("GrupaNazwa"),IF('Wątki'!$B3=$A$3,INDIRECT("PostaćNazwa"))))</f>
        <v>Jurgen</v>
      </c>
      <c r="H1" s="54" t="str">
        <f t="array" ref="H1:H60">IF('Wątki'!$B4=$A$1,INDIRECT("KlasaNazwa"),IF('Wątki'!$B4=$A$2,INDIRECT("GrupaNazwa"),IF('Wątki'!$B4=$A$3,INDIRECT("PostaćNazwa"))))</f>
        <v>Jurgen</v>
      </c>
      <c r="I1" s="54" t="str">
        <f t="array" ref="I1">IF('Wątki'!$B5=$A$1,INDIRECT("KlasaNazwa"),IF('Wątki'!$B5=$A$2,INDIRECT("GrupaNazwa"),IF('Wątki'!$B5=$A$3,INDIRECT("PostaćNazwa"))))</f>
        <v>Kopacze</v>
      </c>
      <c r="J1" s="54" t="str">
        <f t="array" ref="J1:J60">IF('Wątki'!$B6=$A$1,INDIRECT("KlasaNazwa"),IF('Wątki'!$B6=$A$2,INDIRECT("GrupaNazwa"),IF('Wątki'!$B6=$A$3,INDIRECT("PostaćNazwa"))))</f>
        <v>Jurgen</v>
      </c>
      <c r="K1" s="54" t="str">
        <f t="array" ref="K1:K60">IF('Wątki'!$B7=$A$1,INDIRECT("KlasaNazwa"),IF('Wątki'!$B7=$A$2,INDIRECT("GrupaNazwa"),IF('Wątki'!$B7=$A$3,INDIRECT("PostaćNazwa"))))</f>
        <v>Jurgen</v>
      </c>
      <c r="L1" s="54" t="str">
        <f t="array" ref="L1:L60">IF('Wątki'!$B8=$A$1,INDIRECT("KlasaNazwa"),IF('Wątki'!$B8=$A$2,INDIRECT("GrupaNazwa"),IF('Wątki'!$B8=$A$3,INDIRECT("PostaćNazwa"))))</f>
        <v>Jurgen</v>
      </c>
      <c r="M1" s="54" t="str">
        <f t="array" ref="M1:M60">IF('Wątki'!$B9=$A$1,INDIRECT("KlasaNazwa"),IF('Wątki'!$B9=$A$2,INDIRECT("GrupaNazwa"),IF('Wątki'!$B9=$A$3,INDIRECT("PostaćNazwa"))))</f>
        <v>Jurgen</v>
      </c>
      <c r="N1" s="54" t="str">
        <f t="array" ref="N1:N60">IF('Wątki'!$B10=$A$1,INDIRECT("KlasaNazwa"),IF('Wątki'!$B10=$A$2,INDIRECT("GrupaNazwa"),IF('Wątki'!$B10=$A$3,INDIRECT("PostaćNazwa"))))</f>
        <v>Jurgen</v>
      </c>
      <c r="O1" s="54" t="str">
        <f t="array" ref="O1:O60">IF('Wątki'!$B11=$A$1,INDIRECT("KlasaNazwa"),IF('Wątki'!$B11=$A$2,INDIRECT("GrupaNazwa"),IF('Wątki'!$B11=$A$3,INDIRECT("PostaćNazwa"))))</f>
        <v>Jurgen</v>
      </c>
      <c r="P1" s="54" t="str">
        <f t="array" ref="P1:P60">IF('Wątki'!$B12=$A$1,INDIRECT("KlasaNazwa"),IF('Wątki'!$B12=$A$2,INDIRECT("GrupaNazwa"),IF('Wątki'!$B12=$A$3,INDIRECT("PostaćNazwa"))))</f>
        <v>Jurgen</v>
      </c>
      <c r="Q1" s="54" t="str">
        <f t="array" ref="Q1:Q60">IF('Wątki'!$B13=$A$1,INDIRECT("KlasaNazwa"),IF('Wątki'!$B13=$A$2,INDIRECT("GrupaNazwa"),IF('Wątki'!$B13=$A$3,INDIRECT("PostaćNazwa"))))</f>
        <v>Jurgen</v>
      </c>
      <c r="R1" s="54" t="str">
        <f t="array" ref="R1:R60">IF('Wątki'!$B14=$A$1,INDIRECT("KlasaNazwa"),IF('Wątki'!$B14=$A$2,INDIRECT("GrupaNazwa"),IF('Wątki'!$B14=$A$3,INDIRECT("PostaćNazwa"))))</f>
        <v>Jurgen</v>
      </c>
      <c r="S1" s="54" t="str">
        <f t="array" ref="S1:S60">IF('Wątki'!$B15=$A$1,INDIRECT("KlasaNazwa"),IF('Wątki'!$B15=$A$2,INDIRECT("GrupaNazwa"),IF('Wątki'!$B15=$A$3,INDIRECT("PostaćNazwa"))))</f>
        <v>Jurgen</v>
      </c>
      <c r="T1" s="54" t="str">
        <f t="array" ref="T1:T60">IF('Wątki'!$B16=$A$1,INDIRECT("KlasaNazwa"),IF('Wątki'!$B16=$A$2,INDIRECT("GrupaNazwa"),IF('Wątki'!$B16=$A$3,INDIRECT("PostaćNazwa"))))</f>
        <v>Jurgen</v>
      </c>
      <c r="U1" s="54" t="str">
        <f t="array" ref="U1:U60">IF('Wątki'!$B17=$A$1,INDIRECT("KlasaNazwa"),IF('Wątki'!$B17=$A$2,INDIRECT("GrupaNazwa"),IF('Wątki'!$B17=$A$3,INDIRECT("PostaćNazwa"))))</f>
        <v>Jurgen</v>
      </c>
      <c r="V1" s="54" t="str">
        <f t="array" ref="V1:V99">IF('Wątki'!$B18=$A$1,INDIRECT("KlasaNazwa"),IF('Wątki'!$B18=$A$2,INDIRECT("GrupaNazwa"),IF('Wątki'!$B18=$A$3,INDIRECT("PostaćNazwa"))))</f>
        <v>Kręcący</v>
      </c>
      <c r="W1" s="54" t="str">
        <f t="array" ref="W1:W60">IF('Wątki'!$B19=$A$1,INDIRECT("KlasaNazwa"),IF('Wątki'!$B19=$A$2,INDIRECT("GrupaNazwa"),IF('Wątki'!$B19=$A$3,INDIRECT("PostaćNazwa"))))</f>
        <v>Jurgen</v>
      </c>
      <c r="X1" s="54" t="str">
        <f t="array" ref="X1:X60">IF('Wątki'!$B20=$A$1,INDIRECT("KlasaNazwa"),IF('Wątki'!$B20=$A$2,INDIRECT("GrupaNazwa"),IF('Wątki'!$B20=$A$3,INDIRECT("PostaćNazwa"))))</f>
        <v>Jurgen</v>
      </c>
      <c r="Y1" s="54" t="str">
        <f t="array" ref="Y1:Y60">IF('Wątki'!$B22=$A$1,INDIRECT("KlasaNazwa"),IF('Wątki'!$B22=$A$2,INDIRECT("GrupaNazwa"),IF('Wątki'!$B22=$A$3,INDIRECT("PostaćNazwa"))))</f>
        <v>Jurgen</v>
      </c>
      <c r="Z1" s="54" t="str">
        <f t="array" ref="Z1:Z60">IF('Wątki'!$B23=$A$1,INDIRECT("KlasaNazwa"),IF('Wątki'!$B23=$A$2,INDIRECT("GrupaNazwa"),IF('Wątki'!$B23=$A$3,INDIRECT("PostaćNazwa"))))</f>
        <v>Jurgen</v>
      </c>
      <c r="AA1" s="54" t="str">
        <f t="array" ref="AA1">IF(#REF!=$A$1,INDIRECT("KlasaNazwa"),IF(#REF!=$A$2,INDIRECT("GrupaNazwa"),IF(#REF!=$A$3,INDIRECT("PostaćNazwa"))))</f>
        <v>#REF!</v>
      </c>
      <c r="AB1" s="54" t="str">
        <f t="array" ref="AB1:AB60">IF('Wątki'!$B24=$A$1,INDIRECT("KlasaNazwa"),IF('Wątki'!$B24=$A$2,INDIRECT("GrupaNazwa"),IF('Wątki'!$B24=$A$3,INDIRECT("PostaćNazwa"))))</f>
        <v>Jurgen</v>
      </c>
      <c r="AC1" s="54" t="str">
        <f t="array" ref="AC1:AC60">IF('Wątki'!$B25=$A$1,INDIRECT("KlasaNazwa"),IF('Wątki'!$B25=$A$2,INDIRECT("GrupaNazwa"),IF('Wątki'!$B25=$A$3,INDIRECT("PostaćNazwa"))))</f>
        <v>Jurgen</v>
      </c>
      <c r="AD1" s="54" t="str">
        <f t="array" ref="AD1:AD60">IF('Wątki'!$B26=$A$1,INDIRECT("KlasaNazwa"),IF('Wątki'!$B26=$A$2,INDIRECT("GrupaNazwa"),IF('Wątki'!$B26=$A$3,INDIRECT("PostaćNazwa"))))</f>
        <v>Jurgen</v>
      </c>
      <c r="AE1" s="54" t="str">
        <f t="array" ref="AE1:AE60">IF('Wątki'!$B27=$A$1,INDIRECT("KlasaNazwa"),IF('Wątki'!$B27=$A$2,INDIRECT("GrupaNazwa"),IF('Wątki'!$B27=$A$3,INDIRECT("PostaćNazwa"))))</f>
        <v>Jurgen</v>
      </c>
      <c r="AF1" s="54" t="str">
        <f t="array" ref="AF1:AF60">IF('Wątki'!$B28=$A$1,INDIRECT("KlasaNazwa"),IF('Wątki'!$B28=$A$2,INDIRECT("GrupaNazwa"),IF('Wątki'!$B28=$A$3,INDIRECT("PostaćNazwa"))))</f>
        <v>Jurgen</v>
      </c>
      <c r="AG1" s="54" t="str">
        <f t="array" ref="AG1:AG60">IF('Wątki'!$B29=$A$1,INDIRECT("KlasaNazwa"),IF('Wątki'!$B29=$A$2,INDIRECT("GrupaNazwa"),IF('Wątki'!$B29=$A$3,INDIRECT("PostaćNazwa"))))</f>
        <v>Jurgen</v>
      </c>
      <c r="AH1" s="54" t="str">
        <f t="array" ref="AH1:AH60">IF('Wątki'!$B30=$A$1,INDIRECT("KlasaNazwa"),IF('Wątki'!$B30=$A$2,INDIRECT("GrupaNazwa"),IF('Wątki'!$B30=$A$3,INDIRECT("PostaćNazwa"))))</f>
        <v>Jurgen</v>
      </c>
      <c r="AI1" s="54" t="str">
        <f t="array" ref="AI1:AI60">IF('Wątki'!$B31=$A$1,INDIRECT("KlasaNazwa"),IF('Wątki'!$B31=$A$2,INDIRECT("GrupaNazwa"),IF('Wątki'!$B31=$A$3,INDIRECT("PostaćNazwa"))))</f>
        <v>Jurgen</v>
      </c>
      <c r="AJ1" s="54" t="str">
        <f t="array" ref="AJ1:AJ60">IF('Wątki'!$B32=$A$1,INDIRECT("KlasaNazwa"),IF('Wątki'!$B32=$A$2,INDIRECT("GrupaNazwa"),IF('Wątki'!$B32=$A$3,INDIRECT("PostaćNazwa"))))</f>
        <v>Jurgen</v>
      </c>
      <c r="AK1" s="54" t="str">
        <f t="array" ref="AK1:AK60">IF('Wątki'!$B33=$A$1,INDIRECT("KlasaNazwa"),IF('Wątki'!$B33=$A$2,INDIRECT("GrupaNazwa"),IF('Wątki'!$B33=$A$3,INDIRECT("PostaćNazwa"))))</f>
        <v>Jurgen</v>
      </c>
      <c r="AL1" s="54" t="str">
        <f t="array" ref="AL1:AL99">IF('Wątki'!$B34=$A$1,INDIRECT("KlasaNazwa"),IF('Wątki'!$B34=$A$2,INDIRECT("GrupaNazwa"),IF('Wątki'!$B34=$A$3,INDIRECT("PostaćNazwa"))))</f>
        <v>Kręcący</v>
      </c>
      <c r="AM1" s="54" t="str">
        <f t="array" ref="AM1:AM60">IF('Wątki'!$B35=$A$1,INDIRECT("KlasaNazwa"),IF('Wątki'!$B35=$A$2,INDIRECT("GrupaNazwa"),IF('Wątki'!$B35=$A$3,INDIRECT("PostaćNazwa"))))</f>
        <v>Jurgen</v>
      </c>
      <c r="AN1" s="54" t="str">
        <f t="array" ref="AN1:AN60">IF('Wątki'!$B36=$A$1,INDIRECT("KlasaNazwa"),IF('Wątki'!$B36=$A$2,INDIRECT("GrupaNazwa"),IF('Wątki'!$B36=$A$3,INDIRECT("PostaćNazwa"))))</f>
        <v>Jurgen</v>
      </c>
      <c r="AO1" s="54" t="str">
        <f t="array" ref="AO1:AO60">IF('Wątki'!$B37=$A$1,INDIRECT("KlasaNazwa"),IF('Wątki'!$B37=$A$2,INDIRECT("GrupaNazwa"),IF('Wątki'!$B37=$A$3,INDIRECT("PostaćNazwa"))))</f>
        <v>Jurgen</v>
      </c>
      <c r="AP1" s="54" t="str">
        <f t="array" ref="AP1:AP60">IF('Wątki'!$B38=$A$1,INDIRECT("KlasaNazwa"),IF('Wątki'!$B38=$A$2,INDIRECT("GrupaNazwa"),IF('Wątki'!$B38=$A$3,INDIRECT("PostaćNazwa"))))</f>
        <v>Jurgen</v>
      </c>
      <c r="AQ1" s="54" t="str">
        <f t="array" ref="AQ1:AQ60">IF('Wątki'!$B39=$A$1,INDIRECT("KlasaNazwa"),IF('Wątki'!$B39=$A$2,INDIRECT("GrupaNazwa"),IF('Wątki'!$B39=$A$3,INDIRECT("PostaćNazwa"))))</f>
        <v>Jurgen</v>
      </c>
      <c r="AR1" s="54" t="str">
        <f t="array" ref="AR1:AR60">IF('Wątki'!$B40=$A$1,INDIRECT("KlasaNazwa"),IF('Wątki'!$B40=$A$2,INDIRECT("GrupaNazwa"),IF('Wątki'!$B40=$A$3,INDIRECT("PostaćNazwa"))))</f>
        <v>Jurgen</v>
      </c>
      <c r="AS1" s="54" t="str">
        <f t="array" ref="AS1:AS60">IF('Wątki'!$B41=$A$1,INDIRECT("KlasaNazwa"),IF('Wątki'!$B41=$A$2,INDIRECT("GrupaNazwa"),IF('Wątki'!$B41=$A$3,INDIRECT("PostaćNazwa"))))</f>
        <v>Jurgen</v>
      </c>
      <c r="AT1" s="54" t="str">
        <f t="array" ref="AT1:AT60">IF('Wątki'!$B42=$A$1,INDIRECT("KlasaNazwa"),IF('Wątki'!$B42=$A$2,INDIRECT("GrupaNazwa"),IF('Wątki'!$B42=$A$3,INDIRECT("PostaćNazwa"))))</f>
        <v>Jurgen</v>
      </c>
      <c r="AU1" s="54" t="str">
        <f t="array" ref="AU1:AU60">IF('Wątki'!$B43=$A$1,INDIRECT("KlasaNazwa"),IF('Wątki'!$B43=$A$2,INDIRECT("GrupaNazwa"),IF('Wątki'!$B43=$A$3,INDIRECT("PostaćNazwa"))))</f>
        <v>Jurgen</v>
      </c>
      <c r="AV1" s="54" t="str">
        <f t="array" ref="AV1:AV99">IF('Wątki'!$B44=$A$1,INDIRECT("KlasaNazwa"),IF('Wątki'!$B44=$A$2,INDIRECT("GrupaNazwa"),IF('Wątki'!$B44=$A$3,INDIRECT("PostaćNazwa"))))</f>
        <v>Kręcący</v>
      </c>
      <c r="AW1" s="54" t="str">
        <f t="array" ref="AW1:AW60">IF('Wątki'!$B45=$A$1,INDIRECT("KlasaNazwa"),IF('Wątki'!$B45=$A$2,INDIRECT("GrupaNazwa"),IF('Wątki'!$B45=$A$3,INDIRECT("PostaćNazwa"))))</f>
        <v>Jurgen</v>
      </c>
      <c r="AX1" s="54" t="str">
        <f t="array" ref="AX1:AX99">IF('Wątki'!$B46=$A$1,INDIRECT("KlasaNazwa"),IF('Wątki'!$B46=$A$2,INDIRECT("GrupaNazwa"),IF('Wątki'!$B46=$A$3,INDIRECT("PostaćNazwa"))))</f>
        <v>Kręcący</v>
      </c>
      <c r="AY1" s="54" t="str">
        <f t="array" ref="AY1:AY99">IF('Wątki'!$B47=$A$1,INDIRECT("KlasaNazwa"),IF('Wątki'!$B47=$A$2,INDIRECT("GrupaNazwa"),IF('Wątki'!$B47=$A$3,INDIRECT("PostaćNazwa"))))</f>
        <v>Kręcący</v>
      </c>
      <c r="AZ1" s="54" t="str">
        <f t="array" ref="AZ1:AZ99">IF('Wątki'!$B48=$A$1,INDIRECT("KlasaNazwa"),IF('Wątki'!$B48=$A$2,INDIRECT("GrupaNazwa"),IF('Wątki'!$B48=$A$3,INDIRECT("PostaćNazwa"))))</f>
        <v>Kręcący</v>
      </c>
      <c r="BA1" s="54" t="str">
        <f t="array" ref="BA1:BA99">IF('Wątki'!$B49=$A$1,INDIRECT("KlasaNazwa"),IF('Wątki'!$B49=$A$2,INDIRECT("GrupaNazwa"),IF('Wątki'!$B49=$A$3,INDIRECT("PostaćNazwa"))))</f>
        <v>Kręcący</v>
      </c>
      <c r="BB1" s="54" t="str">
        <f t="array" ref="BB1:BB99">IF('Wątki'!$B50=$A$1,INDIRECT("KlasaNazwa"),IF('Wątki'!$B50=$A$2,INDIRECT("GrupaNazwa"),IF('Wątki'!$B50=$A$3,INDIRECT("PostaćNazwa"))))</f>
        <v>Kręcący</v>
      </c>
      <c r="BC1" s="54" t="str">
        <f t="array" ref="BC1:BC99">IF('Wątki'!$B51=$A$1,INDIRECT("KlasaNazwa"),IF('Wątki'!$B51=$A$2,INDIRECT("GrupaNazwa"),IF('Wątki'!$B51=$A$3,INDIRECT("PostaćNazwa"))))</f>
        <v>Kręcący</v>
      </c>
      <c r="BD1" s="54" t="str">
        <f t="array" ref="BD1:BD99">IF('Wątki'!$B52=$A$1,INDIRECT("KlasaNazwa"),IF('Wątki'!$B52=$A$2,INDIRECT("GrupaNazwa"),IF('Wątki'!$B52=$A$3,INDIRECT("PostaćNazwa"))))</f>
        <v>Kręcący</v>
      </c>
      <c r="BE1" s="54" t="str">
        <f t="array" ref="BE1:BE99">IF('Wątki'!$B53=$A$1,INDIRECT("KlasaNazwa"),IF('Wątki'!$B53=$A$2,INDIRECT("GrupaNazwa"),IF('Wątki'!$B53=$A$3,INDIRECT("PostaćNazwa"))))</f>
        <v>Kręcący</v>
      </c>
      <c r="BF1" s="54" t="str">
        <f t="array" ref="BF1:BF99">IF('Wątki'!$B54=$A$1,INDIRECT("KlasaNazwa"),IF('Wątki'!$B54=$A$2,INDIRECT("GrupaNazwa"),IF('Wątki'!$B54=$A$3,INDIRECT("PostaćNazwa"))))</f>
        <v>Kręcący</v>
      </c>
      <c r="BG1" s="54" t="str">
        <f t="array" ref="BG1:BG99">IF('Wątki'!$B55=$A$1,INDIRECT("KlasaNazwa"),IF('Wątki'!$B55=$A$2,INDIRECT("GrupaNazwa"),IF('Wątki'!$B55=$A$3,INDIRECT("PostaćNazwa"))))</f>
        <v>Kręcący</v>
      </c>
      <c r="BH1" s="54" t="str">
        <f t="array" ref="BH1:BH99">IF('Wątki'!$B56=$A$1,INDIRECT("KlasaNazwa"),IF('Wątki'!$B56=$A$2,INDIRECT("GrupaNazwa"),IF('Wątki'!$B56=$A$3,INDIRECT("PostaćNazwa"))))</f>
        <v>Kręcący</v>
      </c>
      <c r="BI1" s="54" t="str">
        <f t="array" ref="BI1:BI99">IF('Wątki'!$B57=$A$1,INDIRECT("KlasaNazwa"),IF('Wątki'!$B57=$A$2,INDIRECT("GrupaNazwa"),IF('Wątki'!$B57=$A$3,INDIRECT("PostaćNazwa"))))</f>
        <v>Kręcący</v>
      </c>
      <c r="BJ1" s="54" t="str">
        <f t="array" ref="BJ1:BJ99">IF('Wątki'!$B58=$A$1,INDIRECT("KlasaNazwa"),IF('Wątki'!$B58=$A$2,INDIRECT("GrupaNazwa"),IF('Wątki'!$B58=$A$3,INDIRECT("PostaćNazwa"))))</f>
        <v>Kręcący</v>
      </c>
      <c r="BK1" s="54" t="str">
        <f t="array" ref="BK1:BK99">IF('Wątki'!$B59=$A$1,INDIRECT("KlasaNazwa"),IF('Wątki'!$B59=$A$2,INDIRECT("GrupaNazwa"),IF('Wątki'!$B59=$A$3,INDIRECT("PostaćNazwa"))))</f>
        <v>Kręcący</v>
      </c>
      <c r="BL1" s="54" t="str">
        <f t="array" ref="BL1:BL99">IF('Wątki'!$B60=$A$1,INDIRECT("KlasaNazwa"),IF('Wątki'!$B60=$A$2,INDIRECT("GrupaNazwa"),IF('Wątki'!$B60=$A$3,INDIRECT("PostaćNazwa"))))</f>
        <v>Kręcący</v>
      </c>
      <c r="BM1" s="54" t="str">
        <f t="array" ref="BM1:BM99">IF('Wątki'!$B61=$A$1,INDIRECT("KlasaNazwa"),IF('Wątki'!$B61=$A$2,INDIRECT("GrupaNazwa"),IF('Wątki'!$B61=$A$3,INDIRECT("PostaćNazwa"))))</f>
        <v>Kręcący</v>
      </c>
      <c r="BN1" s="54" t="str">
        <f t="array" ref="BN1:BN99">IF('Wątki'!$B62=$A$1,INDIRECT("KlasaNazwa"),IF('Wątki'!$B62=$A$2,INDIRECT("GrupaNazwa"),IF('Wątki'!$B62=$A$3,INDIRECT("PostaćNazwa"))))</f>
        <v>Kręcący</v>
      </c>
      <c r="BO1" s="54" t="str">
        <f t="array" ref="BO1:BO99">IF('Wątki'!$B63=$A$1,INDIRECT("KlasaNazwa"),IF('Wątki'!$B63=$A$2,INDIRECT("GrupaNazwa"),IF('Wątki'!$B63=$A$3,INDIRECT("PostaćNazwa"))))</f>
        <v>Kręcący</v>
      </c>
      <c r="BP1" s="54" t="str">
        <f t="array" ref="BP1:BP99">IF('Wątki'!$B64=$A$1,INDIRECT("KlasaNazwa"),IF('Wątki'!$B64=$A$2,INDIRECT("GrupaNazwa"),IF('Wątki'!$B64=$A$3,INDIRECT("PostaćNazwa"))))</f>
        <v>Kręcący</v>
      </c>
      <c r="BQ1" s="54" t="str">
        <f t="array" ref="BQ1:BQ60">IF('Wątki'!$B65=$A$1,INDIRECT("KlasaNazwa"),IF('Wątki'!$B65=$A$2,INDIRECT("GrupaNazwa"),IF('Wątki'!$B65=$A$3,INDIRECT("PostaćNazwa"))))</f>
        <v>Jurgen</v>
      </c>
      <c r="BR1" s="54" t="str">
        <f t="array" ref="BR1:BR60">IF('Wątki'!$B66=$A$1,INDIRECT("KlasaNazwa"),IF('Wątki'!$B66=$A$2,INDIRECT("GrupaNazwa"),IF('Wątki'!$B66=$A$3,INDIRECT("PostaćNazwa"))))</f>
        <v>Jurgen</v>
      </c>
      <c r="BS1" s="54" t="str">
        <f t="array" ref="BS1:BS60">IF('Wątki'!$B67=$A$1,INDIRECT("KlasaNazwa"),IF('Wątki'!$B67=$A$2,INDIRECT("GrupaNazwa"),IF('Wątki'!$B67=$A$3,INDIRECT("PostaćNazwa"))))</f>
        <v>Jurgen</v>
      </c>
      <c r="BT1" s="54" t="str">
        <f t="array" ref="BT1:BT99">IF('Wątki'!$B68=$A$1,INDIRECT("KlasaNazwa"),IF('Wątki'!$B68=$A$2,INDIRECT("GrupaNazwa"),IF('Wątki'!$B68=$A$3,INDIRECT("PostaćNazwa"))))</f>
        <v>Kręcący</v>
      </c>
      <c r="BU1" s="54" t="str">
        <f t="array" ref="BU1:BU60">IF('Wątki'!$B69=$A$1,INDIRECT("KlasaNazwa"),IF('Wątki'!$B69=$A$2,INDIRECT("GrupaNazwa"),IF('Wątki'!$B69=$A$3,INDIRECT("PostaćNazwa"))))</f>
        <v>Jurgen</v>
      </c>
      <c r="BV1" s="54" t="str">
        <f t="array" ref="BV1:BV60">IF('Wątki'!$B70=$A$1,INDIRECT("KlasaNazwa"),IF('Wątki'!$B70=$A$2,INDIRECT("GrupaNazwa"),IF('Wątki'!$B70=$A$3,INDIRECT("PostaćNazwa"))))</f>
        <v>Jurgen</v>
      </c>
      <c r="BW1" s="54" t="str">
        <f t="array" ref="BW1:BW99">IF('Wątki'!$B71=$A$1,INDIRECT("KlasaNazwa"),IF('Wątki'!$B71=$A$2,INDIRECT("GrupaNazwa"),IF('Wątki'!$B71=$A$3,INDIRECT("PostaćNazwa"))))</f>
        <v>Kręcący</v>
      </c>
      <c r="BX1" s="54" t="str">
        <f t="array" ref="BX1:BX60">IF('Wątki'!$B72=$A$1,INDIRECT("KlasaNazwa"),IF('Wątki'!$B72=$A$2,INDIRECT("GrupaNazwa"),IF('Wątki'!$B72=$A$3,INDIRECT("PostaćNazwa"))))</f>
        <v>Jurgen</v>
      </c>
      <c r="BY1" s="54" t="str">
        <f t="array" ref="BY1:BY60">IF('Wątki'!$B73=$A$1,INDIRECT("KlasaNazwa"),IF('Wątki'!$B73=$A$2,INDIRECT("GrupaNazwa"),IF('Wątki'!$B73=$A$3,INDIRECT("PostaćNazwa"))))</f>
        <v>Jurgen</v>
      </c>
      <c r="BZ1" s="54" t="str">
        <f t="array" ref="BZ1:BZ60">IF('Wątki'!$B74=$A$1,INDIRECT("KlasaNazwa"),IF('Wątki'!$B74=$A$2,INDIRECT("GrupaNazwa"),IF('Wątki'!$B74=$A$3,INDIRECT("PostaćNazwa"))))</f>
        <v>Jurgen</v>
      </c>
      <c r="CA1" s="54" t="str">
        <f t="array" ref="CA1:CA60">IF('Wątki'!$B75=$A$1,INDIRECT("KlasaNazwa"),IF('Wątki'!$B75=$A$2,INDIRECT("GrupaNazwa"),IF('Wątki'!$B75=$A$3,INDIRECT("PostaćNazwa"))))</f>
        <v>Jurgen</v>
      </c>
      <c r="CB1" s="54" t="str">
        <f t="array" ref="CB1:CB60">IF('Wątki'!$B76=$A$1,INDIRECT("KlasaNazwa"),IF('Wątki'!$B76=$A$2,INDIRECT("GrupaNazwa"),IF('Wątki'!$B76=$A$3,INDIRECT("PostaćNazwa"))))</f>
        <v>Jurgen</v>
      </c>
      <c r="CC1" s="54" t="str">
        <f t="array" ref="CC1:CC60">IF('Wątki'!$B77=$A$1,INDIRECT("KlasaNazwa"),IF('Wątki'!$B77=$A$2,INDIRECT("GrupaNazwa"),IF('Wątki'!$B77=$A$3,INDIRECT("PostaćNazwa"))))</f>
        <v>Jurgen</v>
      </c>
      <c r="CD1" s="54" t="str">
        <f t="array" ref="CD1:CD60">IF('Wątki'!$B78=$A$1,INDIRECT("KlasaNazwa"),IF('Wątki'!$B78=$A$2,INDIRECT("GrupaNazwa"),IF('Wątki'!$B78=$A$3,INDIRECT("PostaćNazwa"))))</f>
        <v>Jurgen</v>
      </c>
      <c r="CE1" s="54" t="str">
        <f t="array" ref="CE1:CE60">IF('Wątki'!$B79=$A$1,INDIRECT("KlasaNazwa"),IF('Wątki'!$B79=$A$2,INDIRECT("GrupaNazwa"),IF('Wątki'!$B79=$A$3,INDIRECT("PostaćNazwa"))))</f>
        <v>Jurgen</v>
      </c>
      <c r="CF1" s="54" t="str">
        <f t="array" ref="CF1:CF99">IF('Wątki'!$B80=$A$1,INDIRECT("KlasaNazwa"),IF('Wątki'!$B80=$A$2,INDIRECT("GrupaNazwa"),IF('Wątki'!$B80=$A$3,INDIRECT("PostaćNazwa"))))</f>
        <v>Kręcący</v>
      </c>
      <c r="CG1" s="54" t="str">
        <f t="array" ref="CG1:CG60">IF('Wątki'!$B81=$A$1,INDIRECT("KlasaNazwa"),IF('Wątki'!$B81=$A$2,INDIRECT("GrupaNazwa"),IF('Wątki'!$B81=$A$3,INDIRECT("PostaćNazwa"))))</f>
        <v>Jurgen</v>
      </c>
      <c r="CH1" s="54" t="str">
        <f t="array" ref="CH1:CH60">IF('Wątki'!$B82=$A$1,INDIRECT("KlasaNazwa"),IF('Wątki'!$B82=$A$2,INDIRECT("GrupaNazwa"),IF('Wątki'!$B82=$A$3,INDIRECT("PostaćNazwa"))))</f>
        <v>Jurgen</v>
      </c>
      <c r="CI1" s="54" t="str">
        <f t="array" ref="CI1:CI60">IF('Wątki'!$B83=$A$1,INDIRECT("KlasaNazwa"),IF('Wątki'!$B83=$A$2,INDIRECT("GrupaNazwa"),IF('Wątki'!$B83=$A$3,INDIRECT("PostaćNazwa"))))</f>
        <v>Jurgen</v>
      </c>
      <c r="CJ1" s="54" t="str">
        <f t="array" ref="CJ1:CJ60">IF('Wątki'!$B84=$A$1,INDIRECT("KlasaNazwa"),IF('Wątki'!$B84=$A$2,INDIRECT("GrupaNazwa"),IF('Wątki'!$B84=$A$3,INDIRECT("PostaćNazwa"))))</f>
        <v>Jurgen</v>
      </c>
      <c r="CK1" s="54" t="str">
        <f t="array" ref="CK1:CK60">IF('Wątki'!$B85=$A$1,INDIRECT("KlasaNazwa"),IF('Wątki'!$B85=$A$2,INDIRECT("GrupaNazwa"),IF('Wątki'!$B85=$A$3,INDIRECT("PostaćNazwa"))))</f>
        <v>Jurgen</v>
      </c>
      <c r="CL1" s="54" t="str">
        <f t="array" ref="CL1:CL60">IF('Wątki'!$B86=$A$1,INDIRECT("KlasaNazwa"),IF('Wątki'!$B86=$A$2,INDIRECT("GrupaNazwa"),IF('Wątki'!$B86=$A$3,INDIRECT("PostaćNazwa"))))</f>
        <v>Jurgen</v>
      </c>
      <c r="CM1" s="54" t="str">
        <f t="array" ref="CM1:CM99">IF('Wątki'!$B87=$A$1,INDIRECT("KlasaNazwa"),IF('Wątki'!$B87=$A$2,INDIRECT("GrupaNazwa"),IF('Wątki'!$B87=$A$3,INDIRECT("PostaćNazwa"))))</f>
        <v>Kręcący</v>
      </c>
      <c r="CN1" s="54" t="str">
        <f t="array" ref="CN1">IF('Wątki'!$B88=$A$1,INDIRECT("KlasaNazwa"),IF('Wątki'!$B88=$A$2,INDIRECT("GrupaNazwa"),IF('Wątki'!$B88=$A$3,INDIRECT("PostaćNazwa"))))</f>
        <v>Kopacze</v>
      </c>
      <c r="CO1" s="54" t="str">
        <f t="array" ref="CO1:CO60">IF('Wątki'!$B89=$A$1,INDIRECT("KlasaNazwa"),IF('Wątki'!$B89=$A$2,INDIRECT("GrupaNazwa"),IF('Wątki'!$B89=$A$3,INDIRECT("PostaćNazwa"))))</f>
        <v>Jurgen</v>
      </c>
      <c r="CP1" s="54" t="str">
        <f t="array" ref="CP1:CP60">IF('Wątki'!$B90=$A$1,INDIRECT("KlasaNazwa"),IF('Wątki'!$B90=$A$2,INDIRECT("GrupaNazwa"),IF('Wątki'!$B90=$A$3,INDIRECT("PostaćNazwa"))))</f>
        <v>Jurgen</v>
      </c>
      <c r="CQ1" s="54" t="str">
        <f t="array" ref="CQ1:CQ60">IF('Wątki'!$B91=$A$1,INDIRECT("KlasaNazwa"),IF('Wątki'!$B91=$A$2,INDIRECT("GrupaNazwa"),IF('Wątki'!$B91=$A$3,INDIRECT("PostaćNazwa"))))</f>
        <v>Jurgen</v>
      </c>
      <c r="CR1" s="54" t="str">
        <f t="array" ref="CR1:CR60">IF('Wątki'!$B92=$A$1,INDIRECT("KlasaNazwa"),IF('Wątki'!$B92=$A$2,INDIRECT("GrupaNazwa"),IF('Wątki'!$B92=$A$3,INDIRECT("PostaćNazwa"))))</f>
        <v>Jurgen</v>
      </c>
      <c r="CS1" s="54" t="str">
        <f t="array" ref="CS1:CS99">IF('Wątki'!$B93=$A$1,INDIRECT("KlasaNazwa"),IF('Wątki'!$B93=$A$2,INDIRECT("GrupaNazwa"),IF('Wątki'!$B93=$A$3,INDIRECT("PostaćNazwa"))))</f>
        <v>Kręcący</v>
      </c>
      <c r="CT1" s="54" t="str">
        <f t="array" ref="CT1:CT99">IF('Wątki'!$B94=$A$1,INDIRECT("KlasaNazwa"),IF('Wątki'!$B94=$A$2,INDIRECT("GrupaNazwa"),IF('Wątki'!$B94=$A$3,INDIRECT("PostaćNazwa"))))</f>
        <v>Kręcący</v>
      </c>
      <c r="CU1" s="54" t="str">
        <f t="array" ref="CU1:CU60">IF('Wątki'!$B95=$A$1,INDIRECT("KlasaNazwa"),IF('Wątki'!$B95=$A$2,INDIRECT("GrupaNazwa"),IF('Wątki'!$B95=$A$3,INDIRECT("PostaćNazwa"))))</f>
        <v>Jurgen</v>
      </c>
      <c r="CV1" s="54" t="str">
        <f t="array" ref="CV1:CV99">IF('Wątki'!$B96=$A$1,INDIRECT("KlasaNazwa"),IF('Wątki'!$B96=$A$2,INDIRECT("GrupaNazwa"),IF('Wątki'!$B96=$A$3,INDIRECT("PostaćNazwa"))))</f>
        <v>Kręcący</v>
      </c>
      <c r="CW1" s="54" t="str">
        <f t="array" ref="CW1:CW60">IF('Wątki'!$B97=$A$1,INDIRECT("KlasaNazwa"),IF('Wątki'!$B97=$A$2,INDIRECT("GrupaNazwa"),IF('Wątki'!$B97=$A$3,INDIRECT("PostaćNazwa"))))</f>
        <v>Jurgen</v>
      </c>
      <c r="CX1" s="54" t="str">
        <f t="array" ref="CX1:CX60">IF('Wątki'!$B98=$A$1,INDIRECT("KlasaNazwa"),IF('Wątki'!$B98=$A$2,INDIRECT("GrupaNazwa"),IF('Wątki'!$B98=$A$3,INDIRECT("PostaćNazwa"))))</f>
        <v>Jurgen</v>
      </c>
      <c r="CY1" s="54" t="str">
        <f t="array" ref="CY1:CY60">IF('Wątki'!$B99=$A$1,INDIRECT("KlasaNazwa"),IF('Wątki'!$B99=$A$2,INDIRECT("GrupaNazwa"),IF('Wątki'!$B99=$A$3,INDIRECT("PostaćNazwa"))))</f>
        <v>Jurgen</v>
      </c>
      <c r="CZ1" s="54" t="str">
        <f t="array" ref="CZ1">IF(#REF!=$A$1,INDIRECT("KlasaNazwa"),IF(#REF!=$A$2,INDIRECT("GrupaNazwa"),IF(#REF!=$A$3,INDIRECT("PostaćNazwa"))))</f>
        <v>#REF!</v>
      </c>
      <c r="DA1" s="54" t="str">
        <f t="array" ref="DA1:DA60">IF('Wątki'!$B100=$A$1,INDIRECT("KlasaNazwa"),IF('Wątki'!$B100=$A$2,INDIRECT("GrupaNazwa"),IF('Wątki'!$B100=$A$3,INDIRECT("PostaćNazwa"))))</f>
        <v>Jurgen</v>
      </c>
      <c r="DB1" s="54" t="str">
        <f t="array" ref="DB1:DB60">IF('Wątki'!$B101=$A$1,INDIRECT("KlasaNazwa"),IF('Wątki'!$B101=$A$2,INDIRECT("GrupaNazwa"),IF('Wątki'!$B101=$A$3,INDIRECT("PostaćNazwa"))))</f>
        <v>Jurgen</v>
      </c>
      <c r="DC1" s="54" t="str">
        <f t="array" ref="DC1:DC99">IF('Wątki'!$B102=$A$1,INDIRECT("KlasaNazwa"),IF('Wątki'!$B102=$A$2,INDIRECT("GrupaNazwa"),IF('Wątki'!$B102=$A$3,INDIRECT("PostaćNazwa"))))</f>
        <v>Kręcący</v>
      </c>
      <c r="DD1" s="54" t="str">
        <f t="array" ref="DD1:DD99">IF('Wątki'!$B103=$A$1,INDIRECT("KlasaNazwa"),IF('Wątki'!$B103=$A$2,INDIRECT("GrupaNazwa"),IF('Wątki'!$B103=$A$3,INDIRECT("PostaćNazwa"))))</f>
        <v>Kręcący</v>
      </c>
      <c r="DE1" s="54" t="str">
        <f t="array" ref="DE1:DE99">IF('Wątki'!$B104=$A$1,INDIRECT("KlasaNazwa"),IF('Wątki'!$B104=$A$2,INDIRECT("GrupaNazwa"),IF('Wątki'!$B104=$A$3,INDIRECT("PostaćNazwa"))))</f>
        <v>Kręcący</v>
      </c>
      <c r="DF1" s="54" t="str">
        <f t="array" ref="DF1:DF60">IF('Wątki'!$B105=$A$1,INDIRECT("KlasaNazwa"),IF('Wątki'!$B105=$A$2,INDIRECT("GrupaNazwa"),IF('Wątki'!$B105=$A$3,INDIRECT("PostaćNazwa"))))</f>
        <v>Jurgen</v>
      </c>
      <c r="DG1" s="54" t="str">
        <f t="array" ref="DG1:DG60">IF('Wątki'!$B106=$A$1,INDIRECT("KlasaNazwa"),IF('Wątki'!$B106=$A$2,INDIRECT("GrupaNazwa"),IF('Wątki'!$B106=$A$3,INDIRECT("PostaćNazwa"))))</f>
        <v>Jurgen</v>
      </c>
      <c r="DH1" s="54" t="str">
        <f t="array" ref="DH1:DH60">IF('Wątki'!$B107=$A$1,INDIRECT("KlasaNazwa"),IF('Wątki'!$B107=$A$2,INDIRECT("GrupaNazwa"),IF('Wątki'!$B107=$A$3,INDIRECT("PostaćNazwa"))))</f>
        <v>Jurgen</v>
      </c>
      <c r="DI1" s="54" t="str">
        <f t="array" ref="DI1:DI60">IF('Wątki'!$B108=$A$1,INDIRECT("KlasaNazwa"),IF('Wątki'!$B108=$A$2,INDIRECT("GrupaNazwa"),IF('Wątki'!$B108=$A$3,INDIRECT("PostaćNazwa"))))</f>
        <v>Jurgen</v>
      </c>
      <c r="DJ1" s="54" t="str">
        <f t="array" ref="DJ1:DJ60">IF('Wątki'!$B109=$A$1,INDIRECT("KlasaNazwa"),IF('Wątki'!$B109=$A$2,INDIRECT("GrupaNazwa"),IF('Wątki'!$B109=$A$3,INDIRECT("PostaćNazwa"))))</f>
        <v>Jurgen</v>
      </c>
      <c r="DK1" s="54" t="str">
        <f t="array" ref="DK1:DK99">IF('Wątki'!$B110=$A$1,INDIRECT("KlasaNazwa"),IF('Wątki'!$B110=$A$2,INDIRECT("GrupaNazwa"),IF('Wątki'!$B110=$A$3,INDIRECT("PostaćNazwa"))))</f>
        <v>Kręcący</v>
      </c>
      <c r="DL1" s="54" t="str">
        <f t="array" ref="DL1:DL99">IF('Wątki'!$B111=$A$1,INDIRECT("KlasaNazwa"),IF('Wątki'!$B111=$A$2,INDIRECT("GrupaNazwa"),IF('Wątki'!$B111=$A$3,INDIRECT("PostaćNazwa"))))</f>
        <v>Kręcący</v>
      </c>
      <c r="DM1" s="54" t="str">
        <f t="array" ref="DM1:DM99">IF('Wątki'!$B112=$A$1,INDIRECT("KlasaNazwa"),IF('Wątki'!$B112=$A$2,INDIRECT("GrupaNazwa"),IF('Wątki'!$B112=$A$3,INDIRECT("PostaćNazwa"))))</f>
        <v>Kręcący</v>
      </c>
      <c r="DN1" s="54" t="str">
        <f t="array" ref="DN1:DN60">IF('Wątki'!$B113=$A$1,INDIRECT("KlasaNazwa"),IF('Wątki'!$B113=$A$2,INDIRECT("GrupaNazwa"),IF('Wątki'!$B113=$A$3,INDIRECT("PostaćNazwa"))))</f>
        <v>Jurgen</v>
      </c>
      <c r="DO1" s="54" t="str">
        <f t="array" ref="DO1:DO60">IF('Wątki'!$B114=$A$1,INDIRECT("KlasaNazwa"),IF('Wątki'!$B114=$A$2,INDIRECT("GrupaNazwa"),IF('Wątki'!$B114=$A$3,INDIRECT("PostaćNazwa"))))</f>
        <v>Jurgen</v>
      </c>
      <c r="DP1" s="54" t="str">
        <f t="array" ref="DP1:DP60">IF('Wątki'!$B115=$A$1,INDIRECT("KlasaNazwa"),IF('Wątki'!$B115=$A$2,INDIRECT("GrupaNazwa"),IF('Wątki'!$B115=$A$3,INDIRECT("PostaćNazwa"))))</f>
        <v>Jurgen</v>
      </c>
      <c r="DQ1" s="54" t="str">
        <f t="array" ref="DQ1:DQ99">IF('Wątki'!$B116=$A$1,INDIRECT("KlasaNazwa"),IF('Wątki'!$B116=$A$2,INDIRECT("GrupaNazwa"),IF('Wątki'!$B116=$A$3,INDIRECT("PostaćNazwa"))))</f>
        <v>Kręcący</v>
      </c>
      <c r="DR1" s="54" t="str">
        <f t="array" ref="DR1:DR60">IF('Wątki'!$B117=$A$1,INDIRECT("KlasaNazwa"),IF('Wątki'!$B117=$A$2,INDIRECT("GrupaNazwa"),IF('Wątki'!$B117=$A$3,INDIRECT("PostaćNazwa"))))</f>
        <v>Jurgen</v>
      </c>
      <c r="DS1" s="54" t="str">
        <f t="array" ref="DS1:DS60">IF('Wątki'!$B118=$A$1,INDIRECT("KlasaNazwa"),IF('Wątki'!$B118=$A$2,INDIRECT("GrupaNazwa"),IF('Wątki'!$B118=$A$3,INDIRECT("PostaćNazwa"))))</f>
        <v>Jurgen</v>
      </c>
      <c r="DT1" s="54" t="str">
        <f t="array" ref="DT1:DT60">IF('Wątki'!$B119=$A$1,INDIRECT("KlasaNazwa"),IF('Wątki'!$B119=$A$2,INDIRECT("GrupaNazwa"),IF('Wątki'!$B119=$A$3,INDIRECT("PostaćNazwa"))))</f>
        <v>Jurgen</v>
      </c>
      <c r="DU1" s="54" t="str">
        <f t="array" ref="DU1:DU60">IF('Wątki'!$B120=$A$1,INDIRECT("KlasaNazwa"),IF('Wątki'!$B120=$A$2,INDIRECT("GrupaNazwa"),IF('Wątki'!$B120=$A$3,INDIRECT("PostaćNazwa"))))</f>
        <v>Jurgen</v>
      </c>
      <c r="DV1" s="54" t="str">
        <f t="array" ref="DV1:DV60">IF('Wątki'!$B121=$A$1,INDIRECT("KlasaNazwa"),IF('Wątki'!$B121=$A$2,INDIRECT("GrupaNazwa"),IF('Wątki'!$B121=$A$3,INDIRECT("PostaćNazwa"))))</f>
        <v>Jurgen</v>
      </c>
      <c r="DW1" s="54" t="str">
        <f t="array" ref="DW1:DW99">IF('Wątki'!$B122=$A$1,INDIRECT("KlasaNazwa"),IF('Wątki'!$B122=$A$2,INDIRECT("GrupaNazwa"),IF('Wątki'!$B122=$A$3,INDIRECT("PostaćNazwa"))))</f>
        <v>Kręcący</v>
      </c>
      <c r="DX1" s="54" t="str">
        <f t="array" ref="DX1">IF(#REF!=$A$1,INDIRECT("KlasaNazwa"),IF(#REF!=$A$2,INDIRECT("GrupaNazwa"),IF(#REF!=$A$3,INDIRECT("PostaćNazwa"))))</f>
        <v>#REF!</v>
      </c>
      <c r="DY1" s="54" t="str">
        <f t="array" ref="DY1:DY99">IF('Wątki'!$B123=$A$1,INDIRECT("KlasaNazwa"),IF('Wątki'!$B123=$A$2,INDIRECT("GrupaNazwa"),IF('Wątki'!$B123=$A$3,INDIRECT("PostaćNazwa"))))</f>
        <v>Kręcący</v>
      </c>
      <c r="DZ1" s="54" t="str">
        <f t="shared" ref="DZ1:ED1" si="1">IF(#REF!=$A$1,INDIRECT("KlasaNazwa"),IF(#REF!=$A$2,INDIRECT("GrupaNazwa"),IF(#REF!=$A$3,INDIRECT("PostaćNazwa"))))</f>
        <v>#REF!</v>
      </c>
      <c r="EA1" s="54" t="str">
        <f t="shared" si="1"/>
        <v>#REF!</v>
      </c>
      <c r="EB1" s="54" t="str">
        <f t="shared" si="1"/>
        <v>#REF!</v>
      </c>
      <c r="EC1" s="54" t="str">
        <f t="shared" si="1"/>
        <v>#REF!</v>
      </c>
      <c r="ED1" s="54" t="str">
        <f t="shared" si="1"/>
        <v>#REF!</v>
      </c>
      <c r="EE1" s="54" t="str">
        <f t="array" ref="EE1:EE60">IF('Wątki'!$B124=$A$1,INDIRECT("KlasaNazwa"),IF('Wątki'!$B124=$A$2,INDIRECT("GrupaNazwa"),IF('Wątki'!$B124=$A$3,INDIRECT("PostaćNazwa"))))</f>
        <v>Jurgen</v>
      </c>
      <c r="EF1" s="54" t="str">
        <f t="array" ref="EF1:EF60">IF('Wątki'!$B125=$A$1,INDIRECT("KlasaNazwa"),IF('Wątki'!$B125=$A$2,INDIRECT("GrupaNazwa"),IF('Wątki'!$B125=$A$3,INDIRECT("PostaćNazwa"))))</f>
        <v>Jurgen</v>
      </c>
      <c r="EG1" s="54" t="str">
        <f t="array" ref="EG1:EG60">IF('Wątki'!$B126=$A$1,INDIRECT("KlasaNazwa"),IF('Wątki'!$B126=$A$2,INDIRECT("GrupaNazwa"),IF('Wątki'!$B126=$A$3,INDIRECT("PostaćNazwa"))))</f>
        <v>Jurgen</v>
      </c>
      <c r="EH1" s="54" t="str">
        <f t="array" ref="EH1:EH60">IF('Wątki'!$B127=$A$1,INDIRECT("KlasaNazwa"),IF('Wątki'!$B127=$A$2,INDIRECT("GrupaNazwa"),IF('Wątki'!$B127=$A$3,INDIRECT("PostaćNazwa"))))</f>
        <v>Jurgen</v>
      </c>
      <c r="EI1" s="54" t="str">
        <f t="array" ref="EI1:EI60">IF('Wątki'!$B128=$A$1,INDIRECT("KlasaNazwa"),IF('Wątki'!$B128=$A$2,INDIRECT("GrupaNazwa"),IF('Wątki'!$B128=$A$3,INDIRECT("PostaćNazwa"))))</f>
        <v>Jurgen</v>
      </c>
      <c r="EJ1" s="54" t="str">
        <f t="array" ref="EJ1:EJ60">IF('Wątki'!$B129=$A$1,INDIRECT("KlasaNazwa"),IF('Wątki'!$B129=$A$2,INDIRECT("GrupaNazwa"),IF('Wątki'!$B129=$A$3,INDIRECT("PostaćNazwa"))))</f>
        <v>Jurgen</v>
      </c>
      <c r="EK1" s="54" t="str">
        <f t="array" ref="EK1:EK60">IF('Wątki'!$B130=$A$1,INDIRECT("KlasaNazwa"),IF('Wątki'!$B130=$A$2,INDIRECT("GrupaNazwa"),IF('Wątki'!$B130=$A$3,INDIRECT("PostaćNazwa"))))</f>
        <v>Jurgen</v>
      </c>
      <c r="EL1" s="54" t="str">
        <f t="array" ref="EL1:EL60">IF('Wątki'!$B131=$A$1,INDIRECT("KlasaNazwa"),IF('Wątki'!$B131=$A$2,INDIRECT("GrupaNazwa"),IF('Wątki'!$B131=$A$3,INDIRECT("PostaćNazwa"))))</f>
        <v>Jurgen</v>
      </c>
      <c r="EM1" s="54" t="str">
        <f t="array" ref="EM1:EM60">IF('Wątki'!$B132=$A$1,INDIRECT("KlasaNazwa"),IF('Wątki'!$B132=$A$2,INDIRECT("GrupaNazwa"),IF('Wątki'!$B132=$A$3,INDIRECT("PostaćNazwa"))))</f>
        <v>Jurgen</v>
      </c>
      <c r="EN1" s="54" t="str">
        <f t="array" ref="EN1:EN60">IF('Wątki'!$B133=$A$1,INDIRECT("KlasaNazwa"),IF('Wątki'!$B133=$A$2,INDIRECT("GrupaNazwa"),IF('Wątki'!$B133=$A$3,INDIRECT("PostaćNazwa"))))</f>
        <v>Jurgen</v>
      </c>
      <c r="EO1" s="54" t="str">
        <f t="array" ref="EO1:EO60">IF('Wątki'!$B134=$A$1,INDIRECT("KlasaNazwa"),IF('Wątki'!$B134=$A$2,INDIRECT("GrupaNazwa"),IF('Wątki'!$B134=$A$3,INDIRECT("PostaćNazwa"))))</f>
        <v>Jurgen</v>
      </c>
      <c r="EP1" s="54" t="str">
        <f t="array" ref="EP1:EP99">IF('Wątki'!$B135=$A$1,INDIRECT("KlasaNazwa"),IF('Wątki'!$B135=$A$2,INDIRECT("GrupaNazwa"),IF('Wątki'!$B135=$A$3,INDIRECT("PostaćNazwa"))))</f>
        <v>Kręcący</v>
      </c>
      <c r="EQ1" s="54" t="str">
        <f t="array" ref="EQ1:EQ60">IF('Wątki'!$B136=$A$1,INDIRECT("KlasaNazwa"),IF('Wątki'!$B136=$A$2,INDIRECT("GrupaNazwa"),IF('Wątki'!$B136=$A$3,INDIRECT("PostaćNazwa"))))</f>
        <v>Jurgen</v>
      </c>
      <c r="ER1" s="54" t="str">
        <f t="array" ref="ER1:ER60">IF('Wątki'!$B137=$A$1,INDIRECT("KlasaNazwa"),IF('Wątki'!$B137=$A$2,INDIRECT("GrupaNazwa"),IF('Wątki'!$B137=$A$3,INDIRECT("PostaćNazwa"))))</f>
        <v>Jurgen</v>
      </c>
      <c r="ES1" s="54" t="str">
        <f t="array" ref="ES1:ES60">IF('Wątki'!$B138=$A$1,INDIRECT("KlasaNazwa"),IF('Wątki'!$B138=$A$2,INDIRECT("GrupaNazwa"),IF('Wątki'!$B138=$A$3,INDIRECT("PostaćNazwa"))))</f>
        <v>Jurgen</v>
      </c>
      <c r="ET1" s="54" t="str">
        <f t="array" ref="ET1:ET60">IF('Wątki'!$B139=$A$1,INDIRECT("KlasaNazwa"),IF('Wątki'!$B139=$A$2,INDIRECT("GrupaNazwa"),IF('Wątki'!$B139=$A$3,INDIRECT("PostaćNazwa"))))</f>
        <v>Jurgen</v>
      </c>
      <c r="EU1" s="54" t="str">
        <f t="array" ref="EU1:EU60">IF('Wątki'!$B140=$A$1,INDIRECT("KlasaNazwa"),IF('Wątki'!$B140=$A$2,INDIRECT("GrupaNazwa"),IF('Wątki'!$B140=$A$3,INDIRECT("PostaćNazwa"))))</f>
        <v>Jurgen</v>
      </c>
      <c r="EV1" s="54" t="str">
        <f t="array" ref="EV1:EV60">IF('Wątki'!$B141=$A$1,INDIRECT("KlasaNazwa"),IF('Wątki'!$B141=$A$2,INDIRECT("GrupaNazwa"),IF('Wątki'!$B141=$A$3,INDIRECT("PostaćNazwa"))))</f>
        <v>Jurgen</v>
      </c>
      <c r="EW1" s="54" t="str">
        <f t="array" ref="EW1:EW60">IF('Wątki'!$B142=$A$1,INDIRECT("KlasaNazwa"),IF('Wątki'!$B142=$A$2,INDIRECT("GrupaNazwa"),IF('Wątki'!$B142=$A$3,INDIRECT("PostaćNazwa"))))</f>
        <v>Jurgen</v>
      </c>
      <c r="EX1" s="54" t="str">
        <f t="array" ref="EX1:EX60">IF('Wątki'!$B143=$A$1,INDIRECT("KlasaNazwa"),IF('Wątki'!$B143=$A$2,INDIRECT("GrupaNazwa"),IF('Wątki'!$B143=$A$3,INDIRECT("PostaćNazwa"))))</f>
        <v>Jurgen</v>
      </c>
      <c r="EY1" s="54" t="str">
        <f t="array" ref="EY1:EY60">IF('Wątki'!$B144=$A$1,INDIRECT("KlasaNazwa"),IF('Wątki'!$B144=$A$2,INDIRECT("GrupaNazwa"),IF('Wątki'!$B144=$A$3,INDIRECT("PostaćNazwa"))))</f>
        <v>Jurgen</v>
      </c>
      <c r="EZ1" s="54" t="str">
        <f t="array" ref="EZ1:EZ60">IF('Wątki'!$B145=$A$1,INDIRECT("KlasaNazwa"),IF('Wątki'!$B145=$A$2,INDIRECT("GrupaNazwa"),IF('Wątki'!$B145=$A$3,INDIRECT("PostaćNazwa"))))</f>
        <v>Jurgen</v>
      </c>
      <c r="FA1" s="54" t="str">
        <f t="array" ref="FA1:FA60">IF('Wątki'!$B146=$A$1,INDIRECT("KlasaNazwa"),IF('Wątki'!$B146=$A$2,INDIRECT("GrupaNazwa"),IF('Wątki'!$B146=$A$3,INDIRECT("PostaćNazwa"))))</f>
        <v>Jurgen</v>
      </c>
      <c r="FB1" s="54" t="str">
        <f t="array" ref="FB1:FB60">IF('Wątki'!$B147=$A$1,INDIRECT("KlasaNazwa"),IF('Wątki'!$B147=$A$2,INDIRECT("GrupaNazwa"),IF('Wątki'!$B147=$A$3,INDIRECT("PostaćNazwa"))))</f>
        <v>Jurgen</v>
      </c>
      <c r="FC1" s="54" t="str">
        <f t="array" ref="FC1:FC60">IF('Wątki'!$B148=$A$1,INDIRECT("KlasaNazwa"),IF('Wątki'!$B148=$A$2,INDIRECT("GrupaNazwa"),IF('Wątki'!$B148=$A$3,INDIRECT("PostaćNazwa"))))</f>
        <v>Jurgen</v>
      </c>
      <c r="FD1" s="54" t="str">
        <f t="array" ref="FD1:FD60">IF('Wątki'!$B149=$A$1,INDIRECT("KlasaNazwa"),IF('Wątki'!$B149=$A$2,INDIRECT("GrupaNazwa"),IF('Wątki'!$B149=$A$3,INDIRECT("PostaćNazwa"))))</f>
        <v>Jurgen</v>
      </c>
      <c r="FE1" s="54" t="str">
        <f t="array" ref="FE1:FE60">IF('Wątki'!$B150=$A$1,INDIRECT("KlasaNazwa"),IF('Wątki'!$B150=$A$2,INDIRECT("GrupaNazwa"),IF('Wątki'!$B150=$A$3,INDIRECT("PostaćNazwa"))))</f>
        <v>Jurgen</v>
      </c>
      <c r="FF1" s="54" t="str">
        <f t="array" ref="FF1:FF60">IF('Wątki'!$B151=$A$1,INDIRECT("KlasaNazwa"),IF('Wątki'!$B151=$A$2,INDIRECT("GrupaNazwa"),IF('Wątki'!$B151=$A$3,INDIRECT("PostaćNazwa"))))</f>
        <v>Jurgen</v>
      </c>
      <c r="FG1" s="54" t="str">
        <f t="array" ref="FG1:FG60">IF('Wątki'!$B152=$A$1,INDIRECT("KlasaNazwa"),IF('Wątki'!$B152=$A$2,INDIRECT("GrupaNazwa"),IF('Wątki'!$B152=$A$3,INDIRECT("PostaćNazwa"))))</f>
        <v>Jurgen</v>
      </c>
      <c r="FH1" s="54" t="str">
        <f t="array" ref="FH1:FH60">IF('Wątki'!$B153=$A$1,INDIRECT("KlasaNazwa"),IF('Wątki'!$B153=$A$2,INDIRECT("GrupaNazwa"),IF('Wątki'!$B153=$A$3,INDIRECT("PostaćNazwa"))))</f>
        <v>Jurgen</v>
      </c>
      <c r="FI1" s="54" t="str">
        <f t="array" ref="FI1:FI60">IF('Wątki'!$B154=$A$1,INDIRECT("KlasaNazwa"),IF('Wątki'!$B154=$A$2,INDIRECT("GrupaNazwa"),IF('Wątki'!$B154=$A$3,INDIRECT("PostaćNazwa"))))</f>
        <v>Jurgen</v>
      </c>
      <c r="FJ1" s="54" t="str">
        <f t="array" ref="FJ1:FJ60">IF('Wątki'!$B155=$A$1,INDIRECT("KlasaNazwa"),IF('Wątki'!$B155=$A$2,INDIRECT("GrupaNazwa"),IF('Wątki'!$B155=$A$3,INDIRECT("PostaćNazwa"))))</f>
        <v>Jurgen</v>
      </c>
      <c r="FK1" s="54" t="str">
        <f t="array" ref="FK1:FK60">IF('Wątki'!$B156=$A$1,INDIRECT("KlasaNazwa"),IF('Wątki'!$B156=$A$2,INDIRECT("GrupaNazwa"),IF('Wątki'!$B156=$A$3,INDIRECT("PostaćNazwa"))))</f>
        <v>Jurgen</v>
      </c>
      <c r="FL1" s="54" t="str">
        <f t="array" ref="FL1:FL60">IF('Wątki'!$B157=$A$1,INDIRECT("KlasaNazwa"),IF('Wątki'!$B157=$A$2,INDIRECT("GrupaNazwa"),IF('Wątki'!$B157=$A$3,INDIRECT("PostaćNazwa"))))</f>
        <v>Jurgen</v>
      </c>
      <c r="FM1" s="54" t="str">
        <f t="array" ref="FM1:FM60">IF('Wątki'!$B158=$A$1,INDIRECT("KlasaNazwa"),IF('Wątki'!$B158=$A$2,INDIRECT("GrupaNazwa"),IF('Wątki'!$B158=$A$3,INDIRECT("PostaćNazwa"))))</f>
        <v>Jurgen</v>
      </c>
      <c r="FN1" s="54" t="str">
        <f t="array" ref="FN1:FN60">IF('Wątki'!$B159=$A$1,INDIRECT("KlasaNazwa"),IF('Wątki'!$B159=$A$2,INDIRECT("GrupaNazwa"),IF('Wątki'!$B159=$A$3,INDIRECT("PostaćNazwa"))))</f>
        <v>Jurgen</v>
      </c>
      <c r="FO1" s="54" t="str">
        <f t="array" ref="FO1:FO60">IF('Wątki'!$B160=$A$1,INDIRECT("KlasaNazwa"),IF('Wątki'!$B160=$A$2,INDIRECT("GrupaNazwa"),IF('Wątki'!$B160=$A$3,INDIRECT("PostaćNazwa"))))</f>
        <v>Jurgen</v>
      </c>
      <c r="FP1" s="54" t="str">
        <f t="array" ref="FP1:FP60">IF('Wątki'!$B161=$A$1,INDIRECT("KlasaNazwa"),IF('Wątki'!$B161=$A$2,INDIRECT("GrupaNazwa"),IF('Wątki'!$B161=$A$3,INDIRECT("PostaćNazwa"))))</f>
        <v>Jurgen</v>
      </c>
      <c r="FQ1" s="54" t="str">
        <f t="array" ref="FQ1:FQ60">IF('Wątki'!$B162=$A$1,INDIRECT("KlasaNazwa"),IF('Wątki'!$B162=$A$2,INDIRECT("GrupaNazwa"),IF('Wątki'!$B162=$A$3,INDIRECT("PostaćNazwa"))))</f>
        <v>Jurgen</v>
      </c>
      <c r="FR1" s="54" t="str">
        <f t="array" ref="FR1:FR60">IF('Wątki'!$B163=$A$1,INDIRECT("KlasaNazwa"),IF('Wątki'!$B163=$A$2,INDIRECT("GrupaNazwa"),IF('Wątki'!$B163=$A$3,INDIRECT("PostaćNazwa"))))</f>
        <v>Jurgen</v>
      </c>
      <c r="FS1" s="54" t="str">
        <f t="array" ref="FS1:FS60">IF('Wątki'!$B164=$A$1,INDIRECT("KlasaNazwa"),IF('Wątki'!$B164=$A$2,INDIRECT("GrupaNazwa"),IF('Wątki'!$B164=$A$3,INDIRECT("PostaćNazwa"))))</f>
        <v>Jurgen</v>
      </c>
      <c r="FT1" s="54" t="str">
        <f t="array" ref="FT1:FT60">IF('Wątki'!$B165=$A$1,INDIRECT("KlasaNazwa"),IF('Wątki'!$B165=$A$2,INDIRECT("GrupaNazwa"),IF('Wątki'!$B165=$A$3,INDIRECT("PostaćNazwa"))))</f>
        <v>Jurgen</v>
      </c>
      <c r="FU1" s="54" t="str">
        <f t="array" ref="FU1:FU60">IF('Wątki'!$B166=$A$1,INDIRECT("KlasaNazwa"),IF('Wątki'!$B166=$A$2,INDIRECT("GrupaNazwa"),IF('Wątki'!$B166=$A$3,INDIRECT("PostaćNazwa"))))</f>
        <v>Jurgen</v>
      </c>
      <c r="FV1" s="54" t="str">
        <f t="array" ref="FV1:FV60">IF('Wątki'!$B167=$A$1,INDIRECT("KlasaNazwa"),IF('Wątki'!$B167=$A$2,INDIRECT("GrupaNazwa"),IF('Wątki'!$B167=$A$3,INDIRECT("PostaćNazwa"))))</f>
        <v>Jurgen</v>
      </c>
      <c r="FW1" s="54" t="str">
        <f t="array" ref="FW1:FW60">IF('Wątki'!$B168=$A$1,INDIRECT("KlasaNazwa"),IF('Wątki'!$B168=$A$2,INDIRECT("GrupaNazwa"),IF('Wątki'!$B168=$A$3,INDIRECT("PostaćNazwa"))))</f>
        <v>Jurgen</v>
      </c>
      <c r="FX1" s="54" t="str">
        <f t="array" ref="FX1:FX60">IF('Wątki'!$B169=$A$1,INDIRECT("KlasaNazwa"),IF('Wątki'!$B169=$A$2,INDIRECT("GrupaNazwa"),IF('Wątki'!$B169=$A$3,INDIRECT("PostaćNazwa"))))</f>
        <v>Jurgen</v>
      </c>
      <c r="FY1" s="54" t="str">
        <f t="array" ref="FY1:FY60">IF('Wątki'!$B170=$A$1,INDIRECT("KlasaNazwa"),IF('Wątki'!$B170=$A$2,INDIRECT("GrupaNazwa"),IF('Wątki'!$B170=$A$3,INDIRECT("PostaćNazwa"))))</f>
        <v>Jurgen</v>
      </c>
      <c r="FZ1" s="54" t="str">
        <f t="array" ref="FZ1:FZ60">IF('Wątki'!$B171=$A$1,INDIRECT("KlasaNazwa"),IF('Wątki'!$B171=$A$2,INDIRECT("GrupaNazwa"),IF('Wątki'!$B171=$A$3,INDIRECT("PostaćNazwa"))))</f>
        <v>Jurgen</v>
      </c>
      <c r="GA1" s="54" t="str">
        <f t="array" ref="GA1:GA60">IF('Wątki'!$B172=$A$1,INDIRECT("KlasaNazwa"),IF('Wątki'!$B172=$A$2,INDIRECT("GrupaNazwa"),IF('Wątki'!$B172=$A$3,INDIRECT("PostaćNazwa"))))</f>
        <v>Jurgen</v>
      </c>
      <c r="GB1" s="54" t="str">
        <f t="array" ref="GB1:GB60">IF('Wątki'!$B173=$A$1,INDIRECT("KlasaNazwa"),IF('Wątki'!$B173=$A$2,INDIRECT("GrupaNazwa"),IF('Wątki'!$B173=$A$3,INDIRECT("PostaćNazwa"))))</f>
        <v>Jurgen</v>
      </c>
      <c r="GC1" s="54" t="str">
        <f t="array" ref="GC1:GC60">IF('Wątki'!$B174=$A$1,INDIRECT("KlasaNazwa"),IF('Wątki'!$B174=$A$2,INDIRECT("GrupaNazwa"),IF('Wątki'!$B174=$A$3,INDIRECT("PostaćNazwa"))))</f>
        <v>Jurgen</v>
      </c>
      <c r="GD1" s="54" t="str">
        <f t="array" ref="GD1:GD60">IF('Wątki'!$B175=$A$1,INDIRECT("KlasaNazwa"),IF('Wątki'!$B175=$A$2,INDIRECT("GrupaNazwa"),IF('Wątki'!$B175=$A$3,INDIRECT("PostaćNazwa"))))</f>
        <v>Jurgen</v>
      </c>
      <c r="GE1" s="54" t="str">
        <f t="array" ref="GE1:GE60">IF('Wątki'!$B176=$A$1,INDIRECT("KlasaNazwa"),IF('Wątki'!$B176=$A$2,INDIRECT("GrupaNazwa"),IF('Wątki'!$B176=$A$3,INDIRECT("PostaćNazwa"))))</f>
        <v>Jurgen</v>
      </c>
      <c r="GF1" s="54" t="str">
        <f t="array" ref="GF1:GF60">IF('Wątki'!$B177=$A$1,INDIRECT("KlasaNazwa"),IF('Wątki'!$B177=$A$2,INDIRECT("GrupaNazwa"),IF('Wątki'!$B177=$A$3,INDIRECT("PostaćNazwa"))))</f>
        <v>Jurgen</v>
      </c>
      <c r="GG1" s="54" t="str">
        <f t="array" ref="GG1:GG60">IF('Wątki'!$B178=$A$1,INDIRECT("KlasaNazwa"),IF('Wątki'!$B178=$A$2,INDIRECT("GrupaNazwa"),IF('Wątki'!$B178=$A$3,INDIRECT("PostaćNazwa"))))</f>
        <v>Jurgen</v>
      </c>
      <c r="GH1" s="54" t="str">
        <f t="array" ref="GH1:GH60">IF('Wątki'!$B179=$A$1,INDIRECT("KlasaNazwa"),IF('Wątki'!$B179=$A$2,INDIRECT("GrupaNazwa"),IF('Wątki'!$B179=$A$3,INDIRECT("PostaćNazwa"))))</f>
        <v>Jurgen</v>
      </c>
      <c r="GI1" s="54" t="str">
        <f t="array" ref="GI1:GI60">IF('Wątki'!$B180=$A$1,INDIRECT("KlasaNazwa"),IF('Wątki'!$B180=$A$2,INDIRECT("GrupaNazwa"),IF('Wątki'!$B180=$A$3,INDIRECT("PostaćNazwa"))))</f>
        <v>Jurgen</v>
      </c>
      <c r="GJ1" s="54" t="str">
        <f t="array" ref="GJ1:GJ60">IF('Wątki'!$B181=$A$1,INDIRECT("KlasaNazwa"),IF('Wątki'!$B181=$A$2,INDIRECT("GrupaNazwa"),IF('Wątki'!$B181=$A$3,INDIRECT("PostaćNazwa"))))</f>
        <v>Jurgen</v>
      </c>
      <c r="GK1" s="54" t="str">
        <f t="array" ref="GK1:GK60">IF('Wątki'!$B182=$A$1,INDIRECT("KlasaNazwa"),IF('Wątki'!$B182=$A$2,INDIRECT("GrupaNazwa"),IF('Wątki'!$B182=$A$3,INDIRECT("PostaćNazwa"))))</f>
        <v>Jurgen</v>
      </c>
      <c r="GL1" s="54" t="str">
        <f t="array" ref="GL1:GL60">IF('Wątki'!$B183=$A$1,INDIRECT("KlasaNazwa"),IF('Wątki'!$B183=$A$2,INDIRECT("GrupaNazwa"),IF('Wątki'!$B183=$A$3,INDIRECT("PostaćNazwa"))))</f>
        <v>Jurgen</v>
      </c>
      <c r="GM1" s="54" t="str">
        <f t="array" ref="GM1:GM60">IF('Wątki'!$B184=$A$1,INDIRECT("KlasaNazwa"),IF('Wątki'!$B184=$A$2,INDIRECT("GrupaNazwa"),IF('Wątki'!$B184=$A$3,INDIRECT("PostaćNazwa"))))</f>
        <v>Jurgen</v>
      </c>
      <c r="GN1" s="54" t="str">
        <f t="array" ref="GN1:GN60">IF('Wątki'!$B185=$A$1,INDIRECT("KlasaNazwa"),IF('Wątki'!$B185=$A$2,INDIRECT("GrupaNazwa"),IF('Wątki'!$B185=$A$3,INDIRECT("PostaćNazwa"))))</f>
        <v>Jurgen</v>
      </c>
      <c r="GO1" s="54" t="str">
        <f t="array" ref="GO1:GO60">IF('Wątki'!$B186=$A$1,INDIRECT("KlasaNazwa"),IF('Wątki'!$B186=$A$2,INDIRECT("GrupaNazwa"),IF('Wątki'!$B186=$A$3,INDIRECT("PostaćNazwa"))))</f>
        <v>Jurgen</v>
      </c>
      <c r="GP1" s="54" t="str">
        <f t="array" ref="GP1:GP60">IF('Wątki'!$B187=$A$1,INDIRECT("KlasaNazwa"),IF('Wątki'!$B187=$A$2,INDIRECT("GrupaNazwa"),IF('Wątki'!$B187=$A$3,INDIRECT("PostaćNazwa"))))</f>
        <v>Jurgen</v>
      </c>
      <c r="GQ1" s="54" t="str">
        <f t="array" ref="GQ1:GQ60">IF('Wątki'!$B188=$A$1,INDIRECT("KlasaNazwa"),IF('Wątki'!$B188=$A$2,INDIRECT("GrupaNazwa"),IF('Wątki'!$B188=$A$3,INDIRECT("PostaćNazwa"))))</f>
        <v>Jurgen</v>
      </c>
      <c r="GR1" s="54" t="str">
        <f t="array" ref="GR1:GR60">IF('Wątki'!$B195=$A$1,INDIRECT("KlasaNazwa"),IF('Wątki'!$B195=$A$2,INDIRECT("GrupaNazwa"),IF('Wątki'!$B195=$A$3,INDIRECT("PostaćNazwa"))))</f>
        <v>Jurgen</v>
      </c>
      <c r="GS1" s="54" t="str">
        <f t="array" ref="GS1:GS60">IF('Wątki'!$B196=$A$1,INDIRECT("KlasaNazwa"),IF('Wątki'!$B196=$A$2,INDIRECT("GrupaNazwa"),IF('Wątki'!$B196=$A$3,INDIRECT("PostaćNazwa"))))</f>
        <v>Jurgen</v>
      </c>
      <c r="GT1" s="54" t="str">
        <f t="array" ref="GT1:GT60">IF('Wątki'!$B197=$A$1,INDIRECT("KlasaNazwa"),IF('Wątki'!$B197=$A$2,INDIRECT("GrupaNazwa"),IF('Wątki'!$B197=$A$3,INDIRECT("PostaćNazwa"))))</f>
        <v>Jurgen</v>
      </c>
      <c r="GU1" s="54" t="str">
        <f t="array" ref="GU1:GU60">IF('Wątki'!$B198=$A$1,INDIRECT("KlasaNazwa"),IF('Wątki'!$B198=$A$2,INDIRECT("GrupaNazwa"),IF('Wątki'!$B198=$A$3,INDIRECT("PostaćNazwa"))))</f>
        <v>Jurgen</v>
      </c>
      <c r="GV1" s="54" t="str">
        <f t="array" ref="GV1:GV60">IF('Wątki'!$B207=$A$1,INDIRECT("KlasaNazwa"),IF('Wątki'!$B207=$A$2,INDIRECT("GrupaNazwa"),IF('Wątki'!$B207=$A$3,INDIRECT("PostaćNazwa"))))</f>
        <v>Jurgen</v>
      </c>
    </row>
    <row r="2">
      <c r="A2" s="50" t="s">
        <v>238</v>
      </c>
      <c r="B2" s="51" t="s">
        <v>239</v>
      </c>
      <c r="C2" s="51" t="s">
        <v>191</v>
      </c>
      <c r="D2" s="53" t="str">
        <f t="array" ref="D2">IF('Wątki'!B3=$A$1,INDIRECT("Klasa"),IF('Wątki'!B3=$A$2,INDIRECT("Grupa"),IF('Wątki'!B3=$A$3,INDIRECT("Postać"),"Nie")))</f>
        <v>Nie</v>
      </c>
      <c r="E2" s="53"/>
      <c r="F2" s="54" t="s">
        <v>16</v>
      </c>
      <c r="G2" s="54" t="s">
        <v>16</v>
      </c>
      <c r="H2" s="54" t="s">
        <v>16</v>
      </c>
      <c r="I2" s="54"/>
      <c r="J2" s="54" t="s">
        <v>16</v>
      </c>
      <c r="K2" s="54" t="s">
        <v>16</v>
      </c>
      <c r="L2" s="54" t="s">
        <v>16</v>
      </c>
      <c r="M2" s="54" t="s">
        <v>16</v>
      </c>
      <c r="N2" s="54" t="s">
        <v>16</v>
      </c>
      <c r="O2" s="54" t="s">
        <v>16</v>
      </c>
      <c r="P2" s="54" t="s">
        <v>16</v>
      </c>
      <c r="Q2" s="54" t="s">
        <v>16</v>
      </c>
      <c r="R2" s="54" t="s">
        <v>16</v>
      </c>
      <c r="S2" s="54" t="s">
        <v>16</v>
      </c>
      <c r="T2" s="54" t="s">
        <v>16</v>
      </c>
      <c r="U2" s="54" t="s">
        <v>16</v>
      </c>
      <c r="V2" s="54" t="s">
        <v>94</v>
      </c>
      <c r="W2" s="54" t="s">
        <v>16</v>
      </c>
      <c r="X2" s="54" t="s">
        <v>16</v>
      </c>
      <c r="Y2" s="54" t="s">
        <v>16</v>
      </c>
      <c r="Z2" s="54" t="s">
        <v>16</v>
      </c>
      <c r="AA2" s="54"/>
      <c r="AB2" s="54" t="s">
        <v>16</v>
      </c>
      <c r="AC2" s="54" t="s">
        <v>16</v>
      </c>
      <c r="AD2" s="54" t="s">
        <v>16</v>
      </c>
      <c r="AE2" s="54" t="s">
        <v>16</v>
      </c>
      <c r="AF2" s="54" t="s">
        <v>16</v>
      </c>
      <c r="AG2" s="54" t="s">
        <v>16</v>
      </c>
      <c r="AH2" s="54" t="s">
        <v>16</v>
      </c>
      <c r="AI2" s="54" t="s">
        <v>16</v>
      </c>
      <c r="AJ2" s="54" t="s">
        <v>16</v>
      </c>
      <c r="AK2" s="54" t="s">
        <v>16</v>
      </c>
      <c r="AL2" s="54" t="s">
        <v>94</v>
      </c>
      <c r="AM2" s="54" t="s">
        <v>16</v>
      </c>
      <c r="AN2" s="54" t="s">
        <v>16</v>
      </c>
      <c r="AO2" s="54" t="s">
        <v>16</v>
      </c>
      <c r="AP2" s="54" t="s">
        <v>16</v>
      </c>
      <c r="AQ2" s="54" t="s">
        <v>16</v>
      </c>
      <c r="AR2" s="54" t="s">
        <v>16</v>
      </c>
      <c r="AS2" s="54" t="s">
        <v>16</v>
      </c>
      <c r="AT2" s="54" t="s">
        <v>16</v>
      </c>
      <c r="AU2" s="54" t="s">
        <v>16</v>
      </c>
      <c r="AV2" s="54" t="s">
        <v>94</v>
      </c>
      <c r="AW2" s="54" t="s">
        <v>16</v>
      </c>
      <c r="AX2" s="54" t="s">
        <v>94</v>
      </c>
      <c r="AY2" s="54" t="s">
        <v>94</v>
      </c>
      <c r="AZ2" s="54" t="s">
        <v>94</v>
      </c>
      <c r="BA2" s="54" t="s">
        <v>94</v>
      </c>
      <c r="BB2" s="54" t="s">
        <v>94</v>
      </c>
      <c r="BC2" s="54" t="s">
        <v>94</v>
      </c>
      <c r="BD2" s="54" t="s">
        <v>94</v>
      </c>
      <c r="BE2" s="54" t="s">
        <v>94</v>
      </c>
      <c r="BF2" s="54" t="s">
        <v>94</v>
      </c>
      <c r="BG2" s="54" t="s">
        <v>94</v>
      </c>
      <c r="BH2" s="54" t="s">
        <v>94</v>
      </c>
      <c r="BI2" s="54" t="s">
        <v>94</v>
      </c>
      <c r="BJ2" s="54" t="s">
        <v>94</v>
      </c>
      <c r="BK2" s="54" t="s">
        <v>94</v>
      </c>
      <c r="BL2" s="54" t="s">
        <v>94</v>
      </c>
      <c r="BM2" s="54" t="s">
        <v>94</v>
      </c>
      <c r="BN2" s="54" t="s">
        <v>94</v>
      </c>
      <c r="BO2" s="54" t="s">
        <v>94</v>
      </c>
      <c r="BP2" s="54" t="s">
        <v>94</v>
      </c>
      <c r="BQ2" s="54" t="s">
        <v>16</v>
      </c>
      <c r="BR2" s="54" t="s">
        <v>16</v>
      </c>
      <c r="BS2" s="54" t="s">
        <v>16</v>
      </c>
      <c r="BT2" s="54" t="s">
        <v>94</v>
      </c>
      <c r="BU2" s="54" t="s">
        <v>16</v>
      </c>
      <c r="BV2" s="54" t="s">
        <v>16</v>
      </c>
      <c r="BW2" s="54" t="s">
        <v>94</v>
      </c>
      <c r="BX2" s="54" t="s">
        <v>16</v>
      </c>
      <c r="BY2" s="54" t="s">
        <v>16</v>
      </c>
      <c r="BZ2" s="54" t="s">
        <v>16</v>
      </c>
      <c r="CA2" s="54" t="s">
        <v>16</v>
      </c>
      <c r="CB2" s="54" t="s">
        <v>16</v>
      </c>
      <c r="CC2" s="54" t="s">
        <v>16</v>
      </c>
      <c r="CD2" s="54" t="s">
        <v>16</v>
      </c>
      <c r="CE2" s="54" t="s">
        <v>16</v>
      </c>
      <c r="CF2" s="54" t="s">
        <v>94</v>
      </c>
      <c r="CG2" s="54" t="s">
        <v>16</v>
      </c>
      <c r="CH2" s="54" t="s">
        <v>16</v>
      </c>
      <c r="CI2" s="54" t="s">
        <v>16</v>
      </c>
      <c r="CJ2" s="54" t="s">
        <v>16</v>
      </c>
      <c r="CK2" s="54" t="s">
        <v>16</v>
      </c>
      <c r="CL2" s="54" t="s">
        <v>16</v>
      </c>
      <c r="CM2" s="54" t="s">
        <v>94</v>
      </c>
      <c r="CN2" s="54"/>
      <c r="CO2" s="54" t="s">
        <v>16</v>
      </c>
      <c r="CP2" s="54" t="s">
        <v>16</v>
      </c>
      <c r="CQ2" s="54" t="s">
        <v>16</v>
      </c>
      <c r="CR2" s="54" t="s">
        <v>16</v>
      </c>
      <c r="CS2" s="54" t="s">
        <v>94</v>
      </c>
      <c r="CT2" s="54" t="s">
        <v>94</v>
      </c>
      <c r="CU2" s="54" t="s">
        <v>16</v>
      </c>
      <c r="CV2" s="54" t="s">
        <v>94</v>
      </c>
      <c r="CW2" s="54" t="s">
        <v>16</v>
      </c>
      <c r="CX2" s="54" t="s">
        <v>16</v>
      </c>
      <c r="CY2" s="54" t="s">
        <v>16</v>
      </c>
      <c r="CZ2" s="54"/>
      <c r="DA2" s="54" t="s">
        <v>16</v>
      </c>
      <c r="DB2" s="54" t="s">
        <v>16</v>
      </c>
      <c r="DC2" s="54" t="s">
        <v>94</v>
      </c>
      <c r="DD2" s="54" t="s">
        <v>94</v>
      </c>
      <c r="DE2" s="54" t="s">
        <v>94</v>
      </c>
      <c r="DF2" s="54" t="s">
        <v>16</v>
      </c>
      <c r="DG2" s="54" t="s">
        <v>16</v>
      </c>
      <c r="DH2" s="54" t="s">
        <v>16</v>
      </c>
      <c r="DI2" s="54" t="s">
        <v>16</v>
      </c>
      <c r="DJ2" s="54" t="s">
        <v>16</v>
      </c>
      <c r="DK2" s="54" t="s">
        <v>94</v>
      </c>
      <c r="DL2" s="54" t="s">
        <v>94</v>
      </c>
      <c r="DM2" s="54" t="s">
        <v>94</v>
      </c>
      <c r="DN2" s="54" t="s">
        <v>16</v>
      </c>
      <c r="DO2" s="54" t="s">
        <v>16</v>
      </c>
      <c r="DP2" s="54" t="s">
        <v>16</v>
      </c>
      <c r="DQ2" s="54" t="s">
        <v>94</v>
      </c>
      <c r="DR2" s="54" t="s">
        <v>16</v>
      </c>
      <c r="DS2" s="54" t="s">
        <v>16</v>
      </c>
      <c r="DT2" s="54" t="s">
        <v>16</v>
      </c>
      <c r="DU2" s="54" t="s">
        <v>16</v>
      </c>
      <c r="DV2" s="54" t="s">
        <v>16</v>
      </c>
      <c r="DW2" s="54" t="s">
        <v>94</v>
      </c>
      <c r="DX2" s="54"/>
      <c r="DY2" s="54" t="s">
        <v>94</v>
      </c>
      <c r="DZ2" s="54"/>
      <c r="EA2" s="54"/>
      <c r="EB2" s="54"/>
      <c r="EC2" s="54"/>
      <c r="ED2" s="54"/>
      <c r="EE2" s="54" t="s">
        <v>16</v>
      </c>
      <c r="EF2" s="54" t="s">
        <v>16</v>
      </c>
      <c r="EG2" s="54" t="s">
        <v>16</v>
      </c>
      <c r="EH2" s="54" t="s">
        <v>16</v>
      </c>
      <c r="EI2" s="54" t="s">
        <v>16</v>
      </c>
      <c r="EJ2" s="54" t="s">
        <v>16</v>
      </c>
      <c r="EK2" s="54" t="s">
        <v>16</v>
      </c>
      <c r="EL2" s="54" t="s">
        <v>16</v>
      </c>
      <c r="EM2" s="54" t="s">
        <v>16</v>
      </c>
      <c r="EN2" s="54" t="s">
        <v>16</v>
      </c>
      <c r="EO2" s="54" t="s">
        <v>16</v>
      </c>
      <c r="EP2" s="54" t="s">
        <v>94</v>
      </c>
      <c r="EQ2" s="54" t="s">
        <v>16</v>
      </c>
      <c r="ER2" s="54" t="s">
        <v>16</v>
      </c>
      <c r="ES2" s="54" t="s">
        <v>16</v>
      </c>
      <c r="ET2" s="54" t="s">
        <v>16</v>
      </c>
      <c r="EU2" s="54" t="s">
        <v>16</v>
      </c>
      <c r="EV2" s="54" t="s">
        <v>16</v>
      </c>
      <c r="EW2" s="54" t="s">
        <v>16</v>
      </c>
      <c r="EX2" s="54" t="s">
        <v>16</v>
      </c>
      <c r="EY2" s="54" t="s">
        <v>16</v>
      </c>
      <c r="EZ2" s="54" t="s">
        <v>16</v>
      </c>
      <c r="FA2" s="54" t="s">
        <v>16</v>
      </c>
      <c r="FB2" s="54" t="s">
        <v>16</v>
      </c>
      <c r="FC2" s="54" t="s">
        <v>16</v>
      </c>
      <c r="FD2" s="54" t="s">
        <v>16</v>
      </c>
      <c r="FE2" s="54" t="s">
        <v>16</v>
      </c>
      <c r="FF2" s="54" t="s">
        <v>16</v>
      </c>
      <c r="FG2" s="54" t="s">
        <v>16</v>
      </c>
      <c r="FH2" s="54" t="s">
        <v>16</v>
      </c>
      <c r="FI2" s="54" t="s">
        <v>16</v>
      </c>
      <c r="FJ2" s="54" t="s">
        <v>16</v>
      </c>
      <c r="FK2" s="54" t="s">
        <v>16</v>
      </c>
      <c r="FL2" s="54" t="s">
        <v>16</v>
      </c>
      <c r="FM2" s="54" t="s">
        <v>16</v>
      </c>
      <c r="FN2" s="54" t="s">
        <v>16</v>
      </c>
      <c r="FO2" s="54" t="s">
        <v>16</v>
      </c>
      <c r="FP2" s="54" t="s">
        <v>16</v>
      </c>
      <c r="FQ2" s="54" t="s">
        <v>16</v>
      </c>
      <c r="FR2" s="54" t="s">
        <v>16</v>
      </c>
      <c r="FS2" s="54" t="s">
        <v>16</v>
      </c>
      <c r="FT2" s="54" t="s">
        <v>16</v>
      </c>
      <c r="FU2" s="54" t="s">
        <v>16</v>
      </c>
      <c r="FV2" s="54" t="s">
        <v>16</v>
      </c>
      <c r="FW2" s="54" t="s">
        <v>16</v>
      </c>
      <c r="FX2" s="54" t="s">
        <v>16</v>
      </c>
      <c r="FY2" s="54" t="s">
        <v>16</v>
      </c>
      <c r="FZ2" s="54" t="s">
        <v>16</v>
      </c>
      <c r="GA2" s="54" t="s">
        <v>16</v>
      </c>
      <c r="GB2" s="54" t="s">
        <v>16</v>
      </c>
      <c r="GC2" s="54" t="s">
        <v>16</v>
      </c>
      <c r="GD2" s="54" t="s">
        <v>16</v>
      </c>
      <c r="GE2" s="54" t="s">
        <v>16</v>
      </c>
      <c r="GF2" s="54" t="s">
        <v>16</v>
      </c>
      <c r="GG2" s="54" t="s">
        <v>16</v>
      </c>
      <c r="GH2" s="54" t="s">
        <v>16</v>
      </c>
      <c r="GI2" s="54" t="s">
        <v>16</v>
      </c>
      <c r="GJ2" s="54" t="s">
        <v>16</v>
      </c>
      <c r="GK2" s="54" t="s">
        <v>16</v>
      </c>
      <c r="GL2" s="54" t="s">
        <v>16</v>
      </c>
      <c r="GM2" s="54" t="s">
        <v>16</v>
      </c>
      <c r="GN2" s="54" t="s">
        <v>16</v>
      </c>
      <c r="GO2" s="54" t="s">
        <v>16</v>
      </c>
      <c r="GP2" s="54" t="s">
        <v>16</v>
      </c>
      <c r="GQ2" s="54" t="s">
        <v>16</v>
      </c>
      <c r="GR2" s="54" t="s">
        <v>16</v>
      </c>
      <c r="GS2" s="54" t="s">
        <v>16</v>
      </c>
      <c r="GT2" s="54" t="s">
        <v>16</v>
      </c>
      <c r="GU2" s="54" t="s">
        <v>16</v>
      </c>
      <c r="GV2" s="54" t="s">
        <v>16</v>
      </c>
    </row>
    <row r="3">
      <c r="A3" s="50" t="s">
        <v>190</v>
      </c>
      <c r="B3" s="51" t="s">
        <v>191</v>
      </c>
      <c r="C3" s="55"/>
      <c r="D3" s="53" t="str">
        <f t="array" ref="D3">IF('Wątki'!B4=$A$1,INDIRECT("Klasa"),IF('Wątki'!B4=$A$2,INDIRECT("Grupa"),IF('Wątki'!B4=$A$3,INDIRECT("Postać"),"Nie")))</f>
        <v>Nie</v>
      </c>
      <c r="E3" s="53"/>
      <c r="F3" s="54" t="s">
        <v>19</v>
      </c>
      <c r="G3" s="54" t="s">
        <v>19</v>
      </c>
      <c r="H3" s="54" t="s">
        <v>19</v>
      </c>
      <c r="I3" s="54"/>
      <c r="J3" s="54" t="s">
        <v>19</v>
      </c>
      <c r="K3" s="54" t="s">
        <v>19</v>
      </c>
      <c r="L3" s="54" t="s">
        <v>19</v>
      </c>
      <c r="M3" s="54" t="s">
        <v>19</v>
      </c>
      <c r="N3" s="54" t="s">
        <v>19</v>
      </c>
      <c r="O3" s="54" t="s">
        <v>19</v>
      </c>
      <c r="P3" s="54" t="s">
        <v>19</v>
      </c>
      <c r="Q3" s="54" t="s">
        <v>19</v>
      </c>
      <c r="R3" s="54" t="s">
        <v>19</v>
      </c>
      <c r="S3" s="54" t="s">
        <v>19</v>
      </c>
      <c r="T3" s="54" t="s">
        <v>19</v>
      </c>
      <c r="U3" s="54" t="s">
        <v>19</v>
      </c>
      <c r="V3" s="54" t="s">
        <v>96</v>
      </c>
      <c r="W3" s="54" t="s">
        <v>19</v>
      </c>
      <c r="X3" s="54" t="s">
        <v>19</v>
      </c>
      <c r="Y3" s="54" t="s">
        <v>19</v>
      </c>
      <c r="Z3" s="54" t="s">
        <v>19</v>
      </c>
      <c r="AA3" s="54"/>
      <c r="AB3" s="54" t="s">
        <v>19</v>
      </c>
      <c r="AC3" s="54" t="s">
        <v>19</v>
      </c>
      <c r="AD3" s="54" t="s">
        <v>19</v>
      </c>
      <c r="AE3" s="54" t="s">
        <v>19</v>
      </c>
      <c r="AF3" s="54" t="s">
        <v>19</v>
      </c>
      <c r="AG3" s="54" t="s">
        <v>19</v>
      </c>
      <c r="AH3" s="54" t="s">
        <v>19</v>
      </c>
      <c r="AI3" s="54" t="s">
        <v>19</v>
      </c>
      <c r="AJ3" s="54" t="s">
        <v>19</v>
      </c>
      <c r="AK3" s="54" t="s">
        <v>19</v>
      </c>
      <c r="AL3" s="54" t="s">
        <v>96</v>
      </c>
      <c r="AM3" s="54" t="s">
        <v>19</v>
      </c>
      <c r="AN3" s="54" t="s">
        <v>19</v>
      </c>
      <c r="AO3" s="54" t="s">
        <v>19</v>
      </c>
      <c r="AP3" s="54" t="s">
        <v>19</v>
      </c>
      <c r="AQ3" s="54" t="s">
        <v>19</v>
      </c>
      <c r="AR3" s="54" t="s">
        <v>19</v>
      </c>
      <c r="AS3" s="54" t="s">
        <v>19</v>
      </c>
      <c r="AT3" s="54" t="s">
        <v>19</v>
      </c>
      <c r="AU3" s="54" t="s">
        <v>19</v>
      </c>
      <c r="AV3" s="54" t="s">
        <v>96</v>
      </c>
      <c r="AW3" s="54" t="s">
        <v>19</v>
      </c>
      <c r="AX3" s="54" t="s">
        <v>96</v>
      </c>
      <c r="AY3" s="54" t="s">
        <v>96</v>
      </c>
      <c r="AZ3" s="54" t="s">
        <v>96</v>
      </c>
      <c r="BA3" s="54" t="s">
        <v>96</v>
      </c>
      <c r="BB3" s="54" t="s">
        <v>96</v>
      </c>
      <c r="BC3" s="54" t="s">
        <v>96</v>
      </c>
      <c r="BD3" s="54" t="s">
        <v>96</v>
      </c>
      <c r="BE3" s="54" t="s">
        <v>96</v>
      </c>
      <c r="BF3" s="54" t="s">
        <v>96</v>
      </c>
      <c r="BG3" s="54" t="s">
        <v>96</v>
      </c>
      <c r="BH3" s="54" t="s">
        <v>96</v>
      </c>
      <c r="BI3" s="54" t="s">
        <v>96</v>
      </c>
      <c r="BJ3" s="54" t="s">
        <v>96</v>
      </c>
      <c r="BK3" s="54" t="s">
        <v>96</v>
      </c>
      <c r="BL3" s="54" t="s">
        <v>96</v>
      </c>
      <c r="BM3" s="54" t="s">
        <v>96</v>
      </c>
      <c r="BN3" s="54" t="s">
        <v>96</v>
      </c>
      <c r="BO3" s="54" t="s">
        <v>96</v>
      </c>
      <c r="BP3" s="54" t="s">
        <v>96</v>
      </c>
      <c r="BQ3" s="54" t="s">
        <v>19</v>
      </c>
      <c r="BR3" s="54" t="s">
        <v>19</v>
      </c>
      <c r="BS3" s="54" t="s">
        <v>19</v>
      </c>
      <c r="BT3" s="54" t="s">
        <v>96</v>
      </c>
      <c r="BU3" s="54" t="s">
        <v>19</v>
      </c>
      <c r="BV3" s="54" t="s">
        <v>19</v>
      </c>
      <c r="BW3" s="54" t="s">
        <v>96</v>
      </c>
      <c r="BX3" s="54" t="s">
        <v>19</v>
      </c>
      <c r="BY3" s="54" t="s">
        <v>19</v>
      </c>
      <c r="BZ3" s="54" t="s">
        <v>19</v>
      </c>
      <c r="CA3" s="54" t="s">
        <v>19</v>
      </c>
      <c r="CB3" s="54" t="s">
        <v>19</v>
      </c>
      <c r="CC3" s="54" t="s">
        <v>19</v>
      </c>
      <c r="CD3" s="54" t="s">
        <v>19</v>
      </c>
      <c r="CE3" s="54" t="s">
        <v>19</v>
      </c>
      <c r="CF3" s="54" t="s">
        <v>96</v>
      </c>
      <c r="CG3" s="54" t="s">
        <v>19</v>
      </c>
      <c r="CH3" s="54" t="s">
        <v>19</v>
      </c>
      <c r="CI3" s="54" t="s">
        <v>19</v>
      </c>
      <c r="CJ3" s="54" t="s">
        <v>19</v>
      </c>
      <c r="CK3" s="54" t="s">
        <v>19</v>
      </c>
      <c r="CL3" s="54" t="s">
        <v>19</v>
      </c>
      <c r="CM3" s="54" t="s">
        <v>96</v>
      </c>
      <c r="CN3" s="54"/>
      <c r="CO3" s="54" t="s">
        <v>19</v>
      </c>
      <c r="CP3" s="54" t="s">
        <v>19</v>
      </c>
      <c r="CQ3" s="54" t="s">
        <v>19</v>
      </c>
      <c r="CR3" s="54" t="s">
        <v>19</v>
      </c>
      <c r="CS3" s="54" t="s">
        <v>96</v>
      </c>
      <c r="CT3" s="54" t="s">
        <v>96</v>
      </c>
      <c r="CU3" s="54" t="s">
        <v>19</v>
      </c>
      <c r="CV3" s="54" t="s">
        <v>96</v>
      </c>
      <c r="CW3" s="54" t="s">
        <v>19</v>
      </c>
      <c r="CX3" s="54" t="s">
        <v>19</v>
      </c>
      <c r="CY3" s="54" t="s">
        <v>19</v>
      </c>
      <c r="CZ3" s="54"/>
      <c r="DA3" s="54" t="s">
        <v>19</v>
      </c>
      <c r="DB3" s="54" t="s">
        <v>19</v>
      </c>
      <c r="DC3" s="54" t="s">
        <v>96</v>
      </c>
      <c r="DD3" s="54" t="s">
        <v>96</v>
      </c>
      <c r="DE3" s="54" t="s">
        <v>96</v>
      </c>
      <c r="DF3" s="54" t="s">
        <v>19</v>
      </c>
      <c r="DG3" s="54" t="s">
        <v>19</v>
      </c>
      <c r="DH3" s="54" t="s">
        <v>19</v>
      </c>
      <c r="DI3" s="54" t="s">
        <v>19</v>
      </c>
      <c r="DJ3" s="54" t="s">
        <v>19</v>
      </c>
      <c r="DK3" s="54" t="s">
        <v>96</v>
      </c>
      <c r="DL3" s="54" t="s">
        <v>96</v>
      </c>
      <c r="DM3" s="54" t="s">
        <v>96</v>
      </c>
      <c r="DN3" s="54" t="s">
        <v>19</v>
      </c>
      <c r="DO3" s="54" t="s">
        <v>19</v>
      </c>
      <c r="DP3" s="54" t="s">
        <v>19</v>
      </c>
      <c r="DQ3" s="54" t="s">
        <v>96</v>
      </c>
      <c r="DR3" s="54" t="s">
        <v>19</v>
      </c>
      <c r="DS3" s="54" t="s">
        <v>19</v>
      </c>
      <c r="DT3" s="54" t="s">
        <v>19</v>
      </c>
      <c r="DU3" s="54" t="s">
        <v>19</v>
      </c>
      <c r="DV3" s="54" t="s">
        <v>19</v>
      </c>
      <c r="DW3" s="54" t="s">
        <v>96</v>
      </c>
      <c r="DX3" s="54"/>
      <c r="DY3" s="54" t="s">
        <v>96</v>
      </c>
      <c r="DZ3" s="54"/>
      <c r="EA3" s="54"/>
      <c r="EB3" s="54"/>
      <c r="EC3" s="54"/>
      <c r="ED3" s="54"/>
      <c r="EE3" s="54" t="s">
        <v>19</v>
      </c>
      <c r="EF3" s="54" t="s">
        <v>19</v>
      </c>
      <c r="EG3" s="54" t="s">
        <v>19</v>
      </c>
      <c r="EH3" s="54" t="s">
        <v>19</v>
      </c>
      <c r="EI3" s="54" t="s">
        <v>19</v>
      </c>
      <c r="EJ3" s="54" t="s">
        <v>19</v>
      </c>
      <c r="EK3" s="54" t="s">
        <v>19</v>
      </c>
      <c r="EL3" s="54" t="s">
        <v>19</v>
      </c>
      <c r="EM3" s="54" t="s">
        <v>19</v>
      </c>
      <c r="EN3" s="54" t="s">
        <v>19</v>
      </c>
      <c r="EO3" s="54" t="s">
        <v>19</v>
      </c>
      <c r="EP3" s="54" t="s">
        <v>96</v>
      </c>
      <c r="EQ3" s="54" t="s">
        <v>19</v>
      </c>
      <c r="ER3" s="54" t="s">
        <v>19</v>
      </c>
      <c r="ES3" s="54" t="s">
        <v>19</v>
      </c>
      <c r="ET3" s="54" t="s">
        <v>19</v>
      </c>
      <c r="EU3" s="54" t="s">
        <v>19</v>
      </c>
      <c r="EV3" s="54" t="s">
        <v>19</v>
      </c>
      <c r="EW3" s="54" t="s">
        <v>19</v>
      </c>
      <c r="EX3" s="54" t="s">
        <v>19</v>
      </c>
      <c r="EY3" s="54" t="s">
        <v>19</v>
      </c>
      <c r="EZ3" s="54" t="s">
        <v>19</v>
      </c>
      <c r="FA3" s="54" t="s">
        <v>19</v>
      </c>
      <c r="FB3" s="54" t="s">
        <v>19</v>
      </c>
      <c r="FC3" s="54" t="s">
        <v>19</v>
      </c>
      <c r="FD3" s="54" t="s">
        <v>19</v>
      </c>
      <c r="FE3" s="54" t="s">
        <v>19</v>
      </c>
      <c r="FF3" s="54" t="s">
        <v>19</v>
      </c>
      <c r="FG3" s="54" t="s">
        <v>19</v>
      </c>
      <c r="FH3" s="54" t="s">
        <v>19</v>
      </c>
      <c r="FI3" s="54" t="s">
        <v>19</v>
      </c>
      <c r="FJ3" s="54" t="s">
        <v>19</v>
      </c>
      <c r="FK3" s="54" t="s">
        <v>19</v>
      </c>
      <c r="FL3" s="54" t="s">
        <v>19</v>
      </c>
      <c r="FM3" s="54" t="s">
        <v>19</v>
      </c>
      <c r="FN3" s="54" t="s">
        <v>19</v>
      </c>
      <c r="FO3" s="54" t="s">
        <v>19</v>
      </c>
      <c r="FP3" s="54" t="s">
        <v>19</v>
      </c>
      <c r="FQ3" s="54" t="s">
        <v>19</v>
      </c>
      <c r="FR3" s="54" t="s">
        <v>19</v>
      </c>
      <c r="FS3" s="54" t="s">
        <v>19</v>
      </c>
      <c r="FT3" s="54" t="s">
        <v>19</v>
      </c>
      <c r="FU3" s="54" t="s">
        <v>19</v>
      </c>
      <c r="FV3" s="54" t="s">
        <v>19</v>
      </c>
      <c r="FW3" s="54" t="s">
        <v>19</v>
      </c>
      <c r="FX3" s="54" t="s">
        <v>19</v>
      </c>
      <c r="FY3" s="54" t="s">
        <v>19</v>
      </c>
      <c r="FZ3" s="54" t="s">
        <v>19</v>
      </c>
      <c r="GA3" s="54" t="s">
        <v>19</v>
      </c>
      <c r="GB3" s="54" t="s">
        <v>19</v>
      </c>
      <c r="GC3" s="54" t="s">
        <v>19</v>
      </c>
      <c r="GD3" s="54" t="s">
        <v>19</v>
      </c>
      <c r="GE3" s="54" t="s">
        <v>19</v>
      </c>
      <c r="GF3" s="54" t="s">
        <v>19</v>
      </c>
      <c r="GG3" s="54" t="s">
        <v>19</v>
      </c>
      <c r="GH3" s="54" t="s">
        <v>19</v>
      </c>
      <c r="GI3" s="54" t="s">
        <v>19</v>
      </c>
      <c r="GJ3" s="54" t="s">
        <v>19</v>
      </c>
      <c r="GK3" s="54" t="s">
        <v>19</v>
      </c>
      <c r="GL3" s="54" t="s">
        <v>19</v>
      </c>
      <c r="GM3" s="54" t="s">
        <v>19</v>
      </c>
      <c r="GN3" s="54" t="s">
        <v>19</v>
      </c>
      <c r="GO3" s="54" t="s">
        <v>19</v>
      </c>
      <c r="GP3" s="54" t="s">
        <v>19</v>
      </c>
      <c r="GQ3" s="54" t="s">
        <v>19</v>
      </c>
      <c r="GR3" s="54" t="s">
        <v>19</v>
      </c>
      <c r="GS3" s="54" t="s">
        <v>19</v>
      </c>
      <c r="GT3" s="54" t="s">
        <v>19</v>
      </c>
      <c r="GU3" s="54" t="s">
        <v>19</v>
      </c>
      <c r="GV3" s="54" t="s">
        <v>19</v>
      </c>
    </row>
    <row r="4">
      <c r="D4" s="53" t="str">
        <f t="array" ref="D4">IF('Wątki'!B5=$A$1,INDIRECT("Klasa"),IF('Wątki'!B5=$A$2,INDIRECT("Grupa"),IF('Wątki'!B5=$A$3,INDIRECT("Postać"),"Nie")))</f>
        <v>Nie</v>
      </c>
      <c r="E4" s="53"/>
      <c r="F4" s="54" t="s">
        <v>20</v>
      </c>
      <c r="G4" s="54" t="s">
        <v>20</v>
      </c>
      <c r="H4" s="54" t="s">
        <v>20</v>
      </c>
      <c r="I4" s="54"/>
      <c r="J4" s="54" t="s">
        <v>20</v>
      </c>
      <c r="K4" s="54" t="s">
        <v>20</v>
      </c>
      <c r="L4" s="54" t="s">
        <v>20</v>
      </c>
      <c r="M4" s="54" t="s">
        <v>20</v>
      </c>
      <c r="N4" s="54" t="s">
        <v>20</v>
      </c>
      <c r="O4" s="54" t="s">
        <v>20</v>
      </c>
      <c r="P4" s="54" t="s">
        <v>20</v>
      </c>
      <c r="Q4" s="54" t="s">
        <v>20</v>
      </c>
      <c r="R4" s="54" t="s">
        <v>20</v>
      </c>
      <c r="S4" s="54" t="s">
        <v>20</v>
      </c>
      <c r="T4" s="54" t="s">
        <v>20</v>
      </c>
      <c r="U4" s="54" t="s">
        <v>20</v>
      </c>
      <c r="V4" s="54" t="s">
        <v>98</v>
      </c>
      <c r="W4" s="54" t="s">
        <v>20</v>
      </c>
      <c r="X4" s="54" t="s">
        <v>20</v>
      </c>
      <c r="Y4" s="54" t="s">
        <v>20</v>
      </c>
      <c r="Z4" s="54" t="s">
        <v>20</v>
      </c>
      <c r="AA4" s="54"/>
      <c r="AB4" s="54" t="s">
        <v>20</v>
      </c>
      <c r="AC4" s="54" t="s">
        <v>20</v>
      </c>
      <c r="AD4" s="54" t="s">
        <v>20</v>
      </c>
      <c r="AE4" s="54" t="s">
        <v>20</v>
      </c>
      <c r="AF4" s="54" t="s">
        <v>20</v>
      </c>
      <c r="AG4" s="54" t="s">
        <v>20</v>
      </c>
      <c r="AH4" s="54" t="s">
        <v>20</v>
      </c>
      <c r="AI4" s="54" t="s">
        <v>20</v>
      </c>
      <c r="AJ4" s="54" t="s">
        <v>20</v>
      </c>
      <c r="AK4" s="54" t="s">
        <v>20</v>
      </c>
      <c r="AL4" s="54" t="s">
        <v>98</v>
      </c>
      <c r="AM4" s="54" t="s">
        <v>20</v>
      </c>
      <c r="AN4" s="54" t="s">
        <v>20</v>
      </c>
      <c r="AO4" s="54" t="s">
        <v>20</v>
      </c>
      <c r="AP4" s="54" t="s">
        <v>20</v>
      </c>
      <c r="AQ4" s="54" t="s">
        <v>20</v>
      </c>
      <c r="AR4" s="54" t="s">
        <v>20</v>
      </c>
      <c r="AS4" s="54" t="s">
        <v>20</v>
      </c>
      <c r="AT4" s="54" t="s">
        <v>20</v>
      </c>
      <c r="AU4" s="54" t="s">
        <v>20</v>
      </c>
      <c r="AV4" s="54" t="s">
        <v>98</v>
      </c>
      <c r="AW4" s="54" t="s">
        <v>20</v>
      </c>
      <c r="AX4" s="54" t="s">
        <v>98</v>
      </c>
      <c r="AY4" s="54" t="s">
        <v>98</v>
      </c>
      <c r="AZ4" s="54" t="s">
        <v>98</v>
      </c>
      <c r="BA4" s="54" t="s">
        <v>98</v>
      </c>
      <c r="BB4" s="54" t="s">
        <v>98</v>
      </c>
      <c r="BC4" s="54" t="s">
        <v>98</v>
      </c>
      <c r="BD4" s="54" t="s">
        <v>98</v>
      </c>
      <c r="BE4" s="54" t="s">
        <v>98</v>
      </c>
      <c r="BF4" s="54" t="s">
        <v>98</v>
      </c>
      <c r="BG4" s="54" t="s">
        <v>98</v>
      </c>
      <c r="BH4" s="54" t="s">
        <v>98</v>
      </c>
      <c r="BI4" s="54" t="s">
        <v>98</v>
      </c>
      <c r="BJ4" s="54" t="s">
        <v>98</v>
      </c>
      <c r="BK4" s="54" t="s">
        <v>98</v>
      </c>
      <c r="BL4" s="54" t="s">
        <v>98</v>
      </c>
      <c r="BM4" s="54" t="s">
        <v>98</v>
      </c>
      <c r="BN4" s="54" t="s">
        <v>98</v>
      </c>
      <c r="BO4" s="54" t="s">
        <v>98</v>
      </c>
      <c r="BP4" s="54" t="s">
        <v>98</v>
      </c>
      <c r="BQ4" s="54" t="s">
        <v>20</v>
      </c>
      <c r="BR4" s="54" t="s">
        <v>20</v>
      </c>
      <c r="BS4" s="54" t="s">
        <v>20</v>
      </c>
      <c r="BT4" s="54" t="s">
        <v>98</v>
      </c>
      <c r="BU4" s="54" t="s">
        <v>20</v>
      </c>
      <c r="BV4" s="54" t="s">
        <v>20</v>
      </c>
      <c r="BW4" s="54" t="s">
        <v>98</v>
      </c>
      <c r="BX4" s="54" t="s">
        <v>20</v>
      </c>
      <c r="BY4" s="54" t="s">
        <v>20</v>
      </c>
      <c r="BZ4" s="54" t="s">
        <v>20</v>
      </c>
      <c r="CA4" s="54" t="s">
        <v>20</v>
      </c>
      <c r="CB4" s="54" t="s">
        <v>20</v>
      </c>
      <c r="CC4" s="54" t="s">
        <v>20</v>
      </c>
      <c r="CD4" s="54" t="s">
        <v>20</v>
      </c>
      <c r="CE4" s="54" t="s">
        <v>20</v>
      </c>
      <c r="CF4" s="54" t="s">
        <v>98</v>
      </c>
      <c r="CG4" s="54" t="s">
        <v>20</v>
      </c>
      <c r="CH4" s="54" t="s">
        <v>20</v>
      </c>
      <c r="CI4" s="54" t="s">
        <v>20</v>
      </c>
      <c r="CJ4" s="54" t="s">
        <v>20</v>
      </c>
      <c r="CK4" s="54" t="s">
        <v>20</v>
      </c>
      <c r="CL4" s="54" t="s">
        <v>20</v>
      </c>
      <c r="CM4" s="54" t="s">
        <v>98</v>
      </c>
      <c r="CN4" s="54"/>
      <c r="CO4" s="54" t="s">
        <v>20</v>
      </c>
      <c r="CP4" s="54" t="s">
        <v>20</v>
      </c>
      <c r="CQ4" s="54" t="s">
        <v>20</v>
      </c>
      <c r="CR4" s="54" t="s">
        <v>20</v>
      </c>
      <c r="CS4" s="54" t="s">
        <v>98</v>
      </c>
      <c r="CT4" s="54" t="s">
        <v>98</v>
      </c>
      <c r="CU4" s="54" t="s">
        <v>20</v>
      </c>
      <c r="CV4" s="54" t="s">
        <v>98</v>
      </c>
      <c r="CW4" s="54" t="s">
        <v>20</v>
      </c>
      <c r="CX4" s="54" t="s">
        <v>20</v>
      </c>
      <c r="CY4" s="54" t="s">
        <v>20</v>
      </c>
      <c r="CZ4" s="54"/>
      <c r="DA4" s="54" t="s">
        <v>20</v>
      </c>
      <c r="DB4" s="54" t="s">
        <v>20</v>
      </c>
      <c r="DC4" s="54" t="s">
        <v>98</v>
      </c>
      <c r="DD4" s="54" t="s">
        <v>98</v>
      </c>
      <c r="DE4" s="54" t="s">
        <v>98</v>
      </c>
      <c r="DF4" s="54" t="s">
        <v>20</v>
      </c>
      <c r="DG4" s="54" t="s">
        <v>20</v>
      </c>
      <c r="DH4" s="54" t="s">
        <v>20</v>
      </c>
      <c r="DI4" s="54" t="s">
        <v>20</v>
      </c>
      <c r="DJ4" s="54" t="s">
        <v>20</v>
      </c>
      <c r="DK4" s="54" t="s">
        <v>98</v>
      </c>
      <c r="DL4" s="54" t="s">
        <v>98</v>
      </c>
      <c r="DM4" s="54" t="s">
        <v>98</v>
      </c>
      <c r="DN4" s="54" t="s">
        <v>20</v>
      </c>
      <c r="DO4" s="54" t="s">
        <v>20</v>
      </c>
      <c r="DP4" s="54" t="s">
        <v>20</v>
      </c>
      <c r="DQ4" s="54" t="s">
        <v>98</v>
      </c>
      <c r="DR4" s="54" t="s">
        <v>20</v>
      </c>
      <c r="DS4" s="54" t="s">
        <v>20</v>
      </c>
      <c r="DT4" s="54" t="s">
        <v>20</v>
      </c>
      <c r="DU4" s="54" t="s">
        <v>20</v>
      </c>
      <c r="DV4" s="54" t="s">
        <v>20</v>
      </c>
      <c r="DW4" s="54" t="s">
        <v>98</v>
      </c>
      <c r="DX4" s="54"/>
      <c r="DY4" s="54" t="s">
        <v>98</v>
      </c>
      <c r="DZ4" s="54"/>
      <c r="EA4" s="54"/>
      <c r="EB4" s="54"/>
      <c r="EC4" s="54"/>
      <c r="ED4" s="54"/>
      <c r="EE4" s="54" t="s">
        <v>20</v>
      </c>
      <c r="EF4" s="54" t="s">
        <v>20</v>
      </c>
      <c r="EG4" s="54" t="s">
        <v>20</v>
      </c>
      <c r="EH4" s="54" t="s">
        <v>20</v>
      </c>
      <c r="EI4" s="54" t="s">
        <v>20</v>
      </c>
      <c r="EJ4" s="54" t="s">
        <v>20</v>
      </c>
      <c r="EK4" s="54" t="s">
        <v>20</v>
      </c>
      <c r="EL4" s="54" t="s">
        <v>20</v>
      </c>
      <c r="EM4" s="54" t="s">
        <v>20</v>
      </c>
      <c r="EN4" s="54" t="s">
        <v>20</v>
      </c>
      <c r="EO4" s="54" t="s">
        <v>20</v>
      </c>
      <c r="EP4" s="54" t="s">
        <v>98</v>
      </c>
      <c r="EQ4" s="54" t="s">
        <v>20</v>
      </c>
      <c r="ER4" s="54" t="s">
        <v>20</v>
      </c>
      <c r="ES4" s="54" t="s">
        <v>20</v>
      </c>
      <c r="ET4" s="54" t="s">
        <v>20</v>
      </c>
      <c r="EU4" s="54" t="s">
        <v>20</v>
      </c>
      <c r="EV4" s="54" t="s">
        <v>20</v>
      </c>
      <c r="EW4" s="54" t="s">
        <v>20</v>
      </c>
      <c r="EX4" s="54" t="s">
        <v>20</v>
      </c>
      <c r="EY4" s="54" t="s">
        <v>20</v>
      </c>
      <c r="EZ4" s="54" t="s">
        <v>20</v>
      </c>
      <c r="FA4" s="54" t="s">
        <v>20</v>
      </c>
      <c r="FB4" s="54" t="s">
        <v>20</v>
      </c>
      <c r="FC4" s="54" t="s">
        <v>20</v>
      </c>
      <c r="FD4" s="54" t="s">
        <v>20</v>
      </c>
      <c r="FE4" s="54" t="s">
        <v>20</v>
      </c>
      <c r="FF4" s="54" t="s">
        <v>20</v>
      </c>
      <c r="FG4" s="54" t="s">
        <v>20</v>
      </c>
      <c r="FH4" s="54" t="s">
        <v>20</v>
      </c>
      <c r="FI4" s="54" t="s">
        <v>20</v>
      </c>
      <c r="FJ4" s="54" t="s">
        <v>20</v>
      </c>
      <c r="FK4" s="54" t="s">
        <v>20</v>
      </c>
      <c r="FL4" s="54" t="s">
        <v>20</v>
      </c>
      <c r="FM4" s="54" t="s">
        <v>20</v>
      </c>
      <c r="FN4" s="54" t="s">
        <v>20</v>
      </c>
      <c r="FO4" s="54" t="s">
        <v>20</v>
      </c>
      <c r="FP4" s="54" t="s">
        <v>20</v>
      </c>
      <c r="FQ4" s="54" t="s">
        <v>20</v>
      </c>
      <c r="FR4" s="54" t="s">
        <v>20</v>
      </c>
      <c r="FS4" s="54" t="s">
        <v>20</v>
      </c>
      <c r="FT4" s="54" t="s">
        <v>20</v>
      </c>
      <c r="FU4" s="54" t="s">
        <v>20</v>
      </c>
      <c r="FV4" s="54" t="s">
        <v>20</v>
      </c>
      <c r="FW4" s="54" t="s">
        <v>20</v>
      </c>
      <c r="FX4" s="54" t="s">
        <v>20</v>
      </c>
      <c r="FY4" s="54" t="s">
        <v>20</v>
      </c>
      <c r="FZ4" s="54" t="s">
        <v>20</v>
      </c>
      <c r="GA4" s="54" t="s">
        <v>20</v>
      </c>
      <c r="GB4" s="54" t="s">
        <v>20</v>
      </c>
      <c r="GC4" s="54" t="s">
        <v>20</v>
      </c>
      <c r="GD4" s="54" t="s">
        <v>20</v>
      </c>
      <c r="GE4" s="54" t="s">
        <v>20</v>
      </c>
      <c r="GF4" s="54" t="s">
        <v>20</v>
      </c>
      <c r="GG4" s="54" t="s">
        <v>20</v>
      </c>
      <c r="GH4" s="54" t="s">
        <v>20</v>
      </c>
      <c r="GI4" s="54" t="s">
        <v>20</v>
      </c>
      <c r="GJ4" s="54" t="s">
        <v>20</v>
      </c>
      <c r="GK4" s="54" t="s">
        <v>20</v>
      </c>
      <c r="GL4" s="54" t="s">
        <v>20</v>
      </c>
      <c r="GM4" s="54" t="s">
        <v>20</v>
      </c>
      <c r="GN4" s="54" t="s">
        <v>20</v>
      </c>
      <c r="GO4" s="54" t="s">
        <v>20</v>
      </c>
      <c r="GP4" s="54" t="s">
        <v>20</v>
      </c>
      <c r="GQ4" s="54" t="s">
        <v>20</v>
      </c>
      <c r="GR4" s="54" t="s">
        <v>20</v>
      </c>
      <c r="GS4" s="54" t="s">
        <v>20</v>
      </c>
      <c r="GT4" s="54" t="s">
        <v>20</v>
      </c>
      <c r="GU4" s="54" t="s">
        <v>20</v>
      </c>
      <c r="GV4" s="54" t="s">
        <v>20</v>
      </c>
    </row>
    <row r="5">
      <c r="A5" s="56" t="s">
        <v>205</v>
      </c>
      <c r="D5" s="53" t="str">
        <f t="array" ref="D5">IF('Wątki'!B6=$A$1,INDIRECT("Klasa"),IF('Wątki'!B6=$A$2,INDIRECT("Grupa"),IF('Wątki'!B6=$A$3,INDIRECT("Postać"),"Nie")))</f>
        <v>Nie</v>
      </c>
      <c r="E5" s="53"/>
      <c r="F5" s="54" t="s">
        <v>21</v>
      </c>
      <c r="G5" s="54" t="s">
        <v>21</v>
      </c>
      <c r="H5" s="54" t="s">
        <v>21</v>
      </c>
      <c r="I5" s="54"/>
      <c r="J5" s="54" t="s">
        <v>21</v>
      </c>
      <c r="K5" s="54" t="s">
        <v>21</v>
      </c>
      <c r="L5" s="54" t="s">
        <v>21</v>
      </c>
      <c r="M5" s="54" t="s">
        <v>21</v>
      </c>
      <c r="N5" s="54" t="s">
        <v>21</v>
      </c>
      <c r="O5" s="54" t="s">
        <v>21</v>
      </c>
      <c r="P5" s="54" t="s">
        <v>21</v>
      </c>
      <c r="Q5" s="54" t="s">
        <v>21</v>
      </c>
      <c r="R5" s="54" t="s">
        <v>21</v>
      </c>
      <c r="S5" s="54" t="s">
        <v>21</v>
      </c>
      <c r="T5" s="54" t="s">
        <v>21</v>
      </c>
      <c r="U5" s="54" t="s">
        <v>21</v>
      </c>
      <c r="V5" s="54" t="s">
        <v>100</v>
      </c>
      <c r="W5" s="54" t="s">
        <v>21</v>
      </c>
      <c r="X5" s="54" t="s">
        <v>21</v>
      </c>
      <c r="Y5" s="54" t="s">
        <v>21</v>
      </c>
      <c r="Z5" s="54" t="s">
        <v>21</v>
      </c>
      <c r="AA5" s="54"/>
      <c r="AB5" s="54" t="s">
        <v>21</v>
      </c>
      <c r="AC5" s="54" t="s">
        <v>21</v>
      </c>
      <c r="AD5" s="54" t="s">
        <v>21</v>
      </c>
      <c r="AE5" s="54" t="s">
        <v>21</v>
      </c>
      <c r="AF5" s="54" t="s">
        <v>21</v>
      </c>
      <c r="AG5" s="54" t="s">
        <v>21</v>
      </c>
      <c r="AH5" s="54" t="s">
        <v>21</v>
      </c>
      <c r="AI5" s="54" t="s">
        <v>21</v>
      </c>
      <c r="AJ5" s="54" t="s">
        <v>21</v>
      </c>
      <c r="AK5" s="54" t="s">
        <v>21</v>
      </c>
      <c r="AL5" s="54" t="s">
        <v>100</v>
      </c>
      <c r="AM5" s="54" t="s">
        <v>21</v>
      </c>
      <c r="AN5" s="54" t="s">
        <v>21</v>
      </c>
      <c r="AO5" s="54" t="s">
        <v>21</v>
      </c>
      <c r="AP5" s="54" t="s">
        <v>21</v>
      </c>
      <c r="AQ5" s="54" t="s">
        <v>21</v>
      </c>
      <c r="AR5" s="54" t="s">
        <v>21</v>
      </c>
      <c r="AS5" s="54" t="s">
        <v>21</v>
      </c>
      <c r="AT5" s="54" t="s">
        <v>21</v>
      </c>
      <c r="AU5" s="54" t="s">
        <v>21</v>
      </c>
      <c r="AV5" s="54" t="s">
        <v>100</v>
      </c>
      <c r="AW5" s="54" t="s">
        <v>21</v>
      </c>
      <c r="AX5" s="54" t="s">
        <v>100</v>
      </c>
      <c r="AY5" s="54" t="s">
        <v>100</v>
      </c>
      <c r="AZ5" s="54" t="s">
        <v>100</v>
      </c>
      <c r="BA5" s="54" t="s">
        <v>100</v>
      </c>
      <c r="BB5" s="54" t="s">
        <v>100</v>
      </c>
      <c r="BC5" s="54" t="s">
        <v>100</v>
      </c>
      <c r="BD5" s="54" t="s">
        <v>100</v>
      </c>
      <c r="BE5" s="54" t="s">
        <v>100</v>
      </c>
      <c r="BF5" s="54" t="s">
        <v>100</v>
      </c>
      <c r="BG5" s="54" t="s">
        <v>100</v>
      </c>
      <c r="BH5" s="54" t="s">
        <v>100</v>
      </c>
      <c r="BI5" s="54" t="s">
        <v>100</v>
      </c>
      <c r="BJ5" s="54" t="s">
        <v>100</v>
      </c>
      <c r="BK5" s="54" t="s">
        <v>100</v>
      </c>
      <c r="BL5" s="54" t="s">
        <v>100</v>
      </c>
      <c r="BM5" s="54" t="s">
        <v>100</v>
      </c>
      <c r="BN5" s="54" t="s">
        <v>100</v>
      </c>
      <c r="BO5" s="54" t="s">
        <v>100</v>
      </c>
      <c r="BP5" s="54" t="s">
        <v>100</v>
      </c>
      <c r="BQ5" s="54" t="s">
        <v>21</v>
      </c>
      <c r="BR5" s="54" t="s">
        <v>21</v>
      </c>
      <c r="BS5" s="54" t="s">
        <v>21</v>
      </c>
      <c r="BT5" s="54" t="s">
        <v>100</v>
      </c>
      <c r="BU5" s="54" t="s">
        <v>21</v>
      </c>
      <c r="BV5" s="54" t="s">
        <v>21</v>
      </c>
      <c r="BW5" s="54" t="s">
        <v>100</v>
      </c>
      <c r="BX5" s="54" t="s">
        <v>21</v>
      </c>
      <c r="BY5" s="54" t="s">
        <v>21</v>
      </c>
      <c r="BZ5" s="54" t="s">
        <v>21</v>
      </c>
      <c r="CA5" s="54" t="s">
        <v>21</v>
      </c>
      <c r="CB5" s="54" t="s">
        <v>21</v>
      </c>
      <c r="CC5" s="54" t="s">
        <v>21</v>
      </c>
      <c r="CD5" s="54" t="s">
        <v>21</v>
      </c>
      <c r="CE5" s="54" t="s">
        <v>21</v>
      </c>
      <c r="CF5" s="54" t="s">
        <v>100</v>
      </c>
      <c r="CG5" s="54" t="s">
        <v>21</v>
      </c>
      <c r="CH5" s="54" t="s">
        <v>21</v>
      </c>
      <c r="CI5" s="54" t="s">
        <v>21</v>
      </c>
      <c r="CJ5" s="54" t="s">
        <v>21</v>
      </c>
      <c r="CK5" s="54" t="s">
        <v>21</v>
      </c>
      <c r="CL5" s="54" t="s">
        <v>21</v>
      </c>
      <c r="CM5" s="54" t="s">
        <v>100</v>
      </c>
      <c r="CN5" s="54"/>
      <c r="CO5" s="54" t="s">
        <v>21</v>
      </c>
      <c r="CP5" s="54" t="s">
        <v>21</v>
      </c>
      <c r="CQ5" s="54" t="s">
        <v>21</v>
      </c>
      <c r="CR5" s="54" t="s">
        <v>21</v>
      </c>
      <c r="CS5" s="54" t="s">
        <v>100</v>
      </c>
      <c r="CT5" s="54" t="s">
        <v>100</v>
      </c>
      <c r="CU5" s="54" t="s">
        <v>21</v>
      </c>
      <c r="CV5" s="54" t="s">
        <v>100</v>
      </c>
      <c r="CW5" s="54" t="s">
        <v>21</v>
      </c>
      <c r="CX5" s="54" t="s">
        <v>21</v>
      </c>
      <c r="CY5" s="54" t="s">
        <v>21</v>
      </c>
      <c r="CZ5" s="54"/>
      <c r="DA5" s="54" t="s">
        <v>21</v>
      </c>
      <c r="DB5" s="54" t="s">
        <v>21</v>
      </c>
      <c r="DC5" s="54" t="s">
        <v>100</v>
      </c>
      <c r="DD5" s="54" t="s">
        <v>100</v>
      </c>
      <c r="DE5" s="54" t="s">
        <v>100</v>
      </c>
      <c r="DF5" s="54" t="s">
        <v>21</v>
      </c>
      <c r="DG5" s="54" t="s">
        <v>21</v>
      </c>
      <c r="DH5" s="54" t="s">
        <v>21</v>
      </c>
      <c r="DI5" s="54" t="s">
        <v>21</v>
      </c>
      <c r="DJ5" s="54" t="s">
        <v>21</v>
      </c>
      <c r="DK5" s="54" t="s">
        <v>100</v>
      </c>
      <c r="DL5" s="54" t="s">
        <v>100</v>
      </c>
      <c r="DM5" s="54" t="s">
        <v>100</v>
      </c>
      <c r="DN5" s="54" t="s">
        <v>21</v>
      </c>
      <c r="DO5" s="54" t="s">
        <v>21</v>
      </c>
      <c r="DP5" s="54" t="s">
        <v>21</v>
      </c>
      <c r="DQ5" s="54" t="s">
        <v>100</v>
      </c>
      <c r="DR5" s="54" t="s">
        <v>21</v>
      </c>
      <c r="DS5" s="54" t="s">
        <v>21</v>
      </c>
      <c r="DT5" s="54" t="s">
        <v>21</v>
      </c>
      <c r="DU5" s="54" t="s">
        <v>21</v>
      </c>
      <c r="DV5" s="54" t="s">
        <v>21</v>
      </c>
      <c r="DW5" s="54" t="s">
        <v>100</v>
      </c>
      <c r="DX5" s="54"/>
      <c r="DY5" s="54" t="s">
        <v>100</v>
      </c>
      <c r="DZ5" s="54"/>
      <c r="EA5" s="54"/>
      <c r="EB5" s="54"/>
      <c r="EC5" s="54"/>
      <c r="ED5" s="54"/>
      <c r="EE5" s="54" t="s">
        <v>21</v>
      </c>
      <c r="EF5" s="54" t="s">
        <v>21</v>
      </c>
      <c r="EG5" s="54" t="s">
        <v>21</v>
      </c>
      <c r="EH5" s="54" t="s">
        <v>21</v>
      </c>
      <c r="EI5" s="54" t="s">
        <v>21</v>
      </c>
      <c r="EJ5" s="54" t="s">
        <v>21</v>
      </c>
      <c r="EK5" s="54" t="s">
        <v>21</v>
      </c>
      <c r="EL5" s="54" t="s">
        <v>21</v>
      </c>
      <c r="EM5" s="54" t="s">
        <v>21</v>
      </c>
      <c r="EN5" s="54" t="s">
        <v>21</v>
      </c>
      <c r="EO5" s="54" t="s">
        <v>21</v>
      </c>
      <c r="EP5" s="54" t="s">
        <v>100</v>
      </c>
      <c r="EQ5" s="54" t="s">
        <v>21</v>
      </c>
      <c r="ER5" s="54" t="s">
        <v>21</v>
      </c>
      <c r="ES5" s="54" t="s">
        <v>21</v>
      </c>
      <c r="ET5" s="54" t="s">
        <v>21</v>
      </c>
      <c r="EU5" s="54" t="s">
        <v>21</v>
      </c>
      <c r="EV5" s="54" t="s">
        <v>21</v>
      </c>
      <c r="EW5" s="54" t="s">
        <v>21</v>
      </c>
      <c r="EX5" s="54" t="s">
        <v>21</v>
      </c>
      <c r="EY5" s="54" t="s">
        <v>21</v>
      </c>
      <c r="EZ5" s="54" t="s">
        <v>21</v>
      </c>
      <c r="FA5" s="54" t="s">
        <v>21</v>
      </c>
      <c r="FB5" s="54" t="s">
        <v>21</v>
      </c>
      <c r="FC5" s="54" t="s">
        <v>21</v>
      </c>
      <c r="FD5" s="54" t="s">
        <v>21</v>
      </c>
      <c r="FE5" s="54" t="s">
        <v>21</v>
      </c>
      <c r="FF5" s="54" t="s">
        <v>21</v>
      </c>
      <c r="FG5" s="54" t="s">
        <v>21</v>
      </c>
      <c r="FH5" s="54" t="s">
        <v>21</v>
      </c>
      <c r="FI5" s="54" t="s">
        <v>21</v>
      </c>
      <c r="FJ5" s="54" t="s">
        <v>21</v>
      </c>
      <c r="FK5" s="54" t="s">
        <v>21</v>
      </c>
      <c r="FL5" s="54" t="s">
        <v>21</v>
      </c>
      <c r="FM5" s="54" t="s">
        <v>21</v>
      </c>
      <c r="FN5" s="54" t="s">
        <v>21</v>
      </c>
      <c r="FO5" s="54" t="s">
        <v>21</v>
      </c>
      <c r="FP5" s="54" t="s">
        <v>21</v>
      </c>
      <c r="FQ5" s="54" t="s">
        <v>21</v>
      </c>
      <c r="FR5" s="54" t="s">
        <v>21</v>
      </c>
      <c r="FS5" s="54" t="s">
        <v>21</v>
      </c>
      <c r="FT5" s="54" t="s">
        <v>21</v>
      </c>
      <c r="FU5" s="54" t="s">
        <v>21</v>
      </c>
      <c r="FV5" s="54" t="s">
        <v>21</v>
      </c>
      <c r="FW5" s="54" t="s">
        <v>21</v>
      </c>
      <c r="FX5" s="54" t="s">
        <v>21</v>
      </c>
      <c r="FY5" s="54" t="s">
        <v>21</v>
      </c>
      <c r="FZ5" s="54" t="s">
        <v>21</v>
      </c>
      <c r="GA5" s="54" t="s">
        <v>21</v>
      </c>
      <c r="GB5" s="54" t="s">
        <v>21</v>
      </c>
      <c r="GC5" s="54" t="s">
        <v>21</v>
      </c>
      <c r="GD5" s="54" t="s">
        <v>21</v>
      </c>
      <c r="GE5" s="54" t="s">
        <v>21</v>
      </c>
      <c r="GF5" s="54" t="s">
        <v>21</v>
      </c>
      <c r="GG5" s="54" t="s">
        <v>21</v>
      </c>
      <c r="GH5" s="54" t="s">
        <v>21</v>
      </c>
      <c r="GI5" s="54" t="s">
        <v>21</v>
      </c>
      <c r="GJ5" s="54" t="s">
        <v>21</v>
      </c>
      <c r="GK5" s="54" t="s">
        <v>21</v>
      </c>
      <c r="GL5" s="54" t="s">
        <v>21</v>
      </c>
      <c r="GM5" s="54" t="s">
        <v>21</v>
      </c>
      <c r="GN5" s="54" t="s">
        <v>21</v>
      </c>
      <c r="GO5" s="54" t="s">
        <v>21</v>
      </c>
      <c r="GP5" s="54" t="s">
        <v>21</v>
      </c>
      <c r="GQ5" s="54" t="s">
        <v>21</v>
      </c>
      <c r="GR5" s="54" t="s">
        <v>21</v>
      </c>
      <c r="GS5" s="54" t="s">
        <v>21</v>
      </c>
      <c r="GT5" s="54" t="s">
        <v>21</v>
      </c>
      <c r="GU5" s="54" t="s">
        <v>21</v>
      </c>
      <c r="GV5" s="54" t="s">
        <v>21</v>
      </c>
    </row>
    <row r="6">
      <c r="D6" s="53" t="str">
        <f t="array" ref="D6">IF('Wątki'!B7=$A$1,INDIRECT("Klasa"),IF('Wątki'!B7=$A$2,INDIRECT("Grupa"),IF('Wątki'!B7=$A$3,INDIRECT("Postać"),"Nie")))</f>
        <v>Nie</v>
      </c>
      <c r="E6" s="53"/>
      <c r="F6" s="54" t="s">
        <v>24</v>
      </c>
      <c r="G6" s="54" t="s">
        <v>24</v>
      </c>
      <c r="H6" s="54" t="s">
        <v>24</v>
      </c>
      <c r="I6" s="54"/>
      <c r="J6" s="54" t="s">
        <v>24</v>
      </c>
      <c r="K6" s="54" t="s">
        <v>24</v>
      </c>
      <c r="L6" s="54" t="s">
        <v>24</v>
      </c>
      <c r="M6" s="54" t="s">
        <v>24</v>
      </c>
      <c r="N6" s="54" t="s">
        <v>24</v>
      </c>
      <c r="O6" s="54" t="s">
        <v>24</v>
      </c>
      <c r="P6" s="54" t="s">
        <v>24</v>
      </c>
      <c r="Q6" s="54" t="s">
        <v>24</v>
      </c>
      <c r="R6" s="54" t="s">
        <v>24</v>
      </c>
      <c r="S6" s="54" t="s">
        <v>24</v>
      </c>
      <c r="T6" s="54" t="s">
        <v>24</v>
      </c>
      <c r="U6" s="54" t="s">
        <v>24</v>
      </c>
      <c r="V6" s="54" t="s">
        <v>102</v>
      </c>
      <c r="W6" s="54" t="s">
        <v>24</v>
      </c>
      <c r="X6" s="54" t="s">
        <v>24</v>
      </c>
      <c r="Y6" s="54" t="s">
        <v>24</v>
      </c>
      <c r="Z6" s="54" t="s">
        <v>24</v>
      </c>
      <c r="AA6" s="54"/>
      <c r="AB6" s="54" t="s">
        <v>24</v>
      </c>
      <c r="AC6" s="54" t="s">
        <v>24</v>
      </c>
      <c r="AD6" s="54" t="s">
        <v>24</v>
      </c>
      <c r="AE6" s="54" t="s">
        <v>24</v>
      </c>
      <c r="AF6" s="54" t="s">
        <v>24</v>
      </c>
      <c r="AG6" s="54" t="s">
        <v>24</v>
      </c>
      <c r="AH6" s="54" t="s">
        <v>24</v>
      </c>
      <c r="AI6" s="54" t="s">
        <v>24</v>
      </c>
      <c r="AJ6" s="54" t="s">
        <v>24</v>
      </c>
      <c r="AK6" s="54" t="s">
        <v>24</v>
      </c>
      <c r="AL6" s="54" t="s">
        <v>102</v>
      </c>
      <c r="AM6" s="54" t="s">
        <v>24</v>
      </c>
      <c r="AN6" s="54" t="s">
        <v>24</v>
      </c>
      <c r="AO6" s="54" t="s">
        <v>24</v>
      </c>
      <c r="AP6" s="54" t="s">
        <v>24</v>
      </c>
      <c r="AQ6" s="54" t="s">
        <v>24</v>
      </c>
      <c r="AR6" s="54" t="s">
        <v>24</v>
      </c>
      <c r="AS6" s="54" t="s">
        <v>24</v>
      </c>
      <c r="AT6" s="54" t="s">
        <v>24</v>
      </c>
      <c r="AU6" s="54" t="s">
        <v>24</v>
      </c>
      <c r="AV6" s="54" t="s">
        <v>102</v>
      </c>
      <c r="AW6" s="54" t="s">
        <v>24</v>
      </c>
      <c r="AX6" s="54" t="s">
        <v>102</v>
      </c>
      <c r="AY6" s="54" t="s">
        <v>102</v>
      </c>
      <c r="AZ6" s="54" t="s">
        <v>102</v>
      </c>
      <c r="BA6" s="54" t="s">
        <v>102</v>
      </c>
      <c r="BB6" s="54" t="s">
        <v>102</v>
      </c>
      <c r="BC6" s="54" t="s">
        <v>102</v>
      </c>
      <c r="BD6" s="54" t="s">
        <v>102</v>
      </c>
      <c r="BE6" s="54" t="s">
        <v>102</v>
      </c>
      <c r="BF6" s="54" t="s">
        <v>102</v>
      </c>
      <c r="BG6" s="54" t="s">
        <v>102</v>
      </c>
      <c r="BH6" s="54" t="s">
        <v>102</v>
      </c>
      <c r="BI6" s="54" t="s">
        <v>102</v>
      </c>
      <c r="BJ6" s="54" t="s">
        <v>102</v>
      </c>
      <c r="BK6" s="54" t="s">
        <v>102</v>
      </c>
      <c r="BL6" s="54" t="s">
        <v>102</v>
      </c>
      <c r="BM6" s="54" t="s">
        <v>102</v>
      </c>
      <c r="BN6" s="54" t="s">
        <v>102</v>
      </c>
      <c r="BO6" s="54" t="s">
        <v>102</v>
      </c>
      <c r="BP6" s="54" t="s">
        <v>102</v>
      </c>
      <c r="BQ6" s="54" t="s">
        <v>24</v>
      </c>
      <c r="BR6" s="54" t="s">
        <v>24</v>
      </c>
      <c r="BS6" s="54" t="s">
        <v>24</v>
      </c>
      <c r="BT6" s="54" t="s">
        <v>102</v>
      </c>
      <c r="BU6" s="54" t="s">
        <v>24</v>
      </c>
      <c r="BV6" s="54" t="s">
        <v>24</v>
      </c>
      <c r="BW6" s="54" t="s">
        <v>102</v>
      </c>
      <c r="BX6" s="54" t="s">
        <v>24</v>
      </c>
      <c r="BY6" s="54" t="s">
        <v>24</v>
      </c>
      <c r="BZ6" s="54" t="s">
        <v>24</v>
      </c>
      <c r="CA6" s="54" t="s">
        <v>24</v>
      </c>
      <c r="CB6" s="54" t="s">
        <v>24</v>
      </c>
      <c r="CC6" s="54" t="s">
        <v>24</v>
      </c>
      <c r="CD6" s="54" t="s">
        <v>24</v>
      </c>
      <c r="CE6" s="54" t="s">
        <v>24</v>
      </c>
      <c r="CF6" s="54" t="s">
        <v>102</v>
      </c>
      <c r="CG6" s="54" t="s">
        <v>24</v>
      </c>
      <c r="CH6" s="54" t="s">
        <v>24</v>
      </c>
      <c r="CI6" s="54" t="s">
        <v>24</v>
      </c>
      <c r="CJ6" s="54" t="s">
        <v>24</v>
      </c>
      <c r="CK6" s="54" t="s">
        <v>24</v>
      </c>
      <c r="CL6" s="54" t="s">
        <v>24</v>
      </c>
      <c r="CM6" s="54" t="s">
        <v>102</v>
      </c>
      <c r="CN6" s="54"/>
      <c r="CO6" s="54" t="s">
        <v>24</v>
      </c>
      <c r="CP6" s="54" t="s">
        <v>24</v>
      </c>
      <c r="CQ6" s="54" t="s">
        <v>24</v>
      </c>
      <c r="CR6" s="54" t="s">
        <v>24</v>
      </c>
      <c r="CS6" s="54" t="s">
        <v>102</v>
      </c>
      <c r="CT6" s="54" t="s">
        <v>102</v>
      </c>
      <c r="CU6" s="54" t="s">
        <v>24</v>
      </c>
      <c r="CV6" s="54" t="s">
        <v>102</v>
      </c>
      <c r="CW6" s="54" t="s">
        <v>24</v>
      </c>
      <c r="CX6" s="54" t="s">
        <v>24</v>
      </c>
      <c r="CY6" s="54" t="s">
        <v>24</v>
      </c>
      <c r="CZ6" s="54"/>
      <c r="DA6" s="54" t="s">
        <v>24</v>
      </c>
      <c r="DB6" s="54" t="s">
        <v>24</v>
      </c>
      <c r="DC6" s="54" t="s">
        <v>102</v>
      </c>
      <c r="DD6" s="54" t="s">
        <v>102</v>
      </c>
      <c r="DE6" s="54" t="s">
        <v>102</v>
      </c>
      <c r="DF6" s="54" t="s">
        <v>24</v>
      </c>
      <c r="DG6" s="54" t="s">
        <v>24</v>
      </c>
      <c r="DH6" s="54" t="s">
        <v>24</v>
      </c>
      <c r="DI6" s="54" t="s">
        <v>24</v>
      </c>
      <c r="DJ6" s="54" t="s">
        <v>24</v>
      </c>
      <c r="DK6" s="54" t="s">
        <v>102</v>
      </c>
      <c r="DL6" s="54" t="s">
        <v>102</v>
      </c>
      <c r="DM6" s="54" t="s">
        <v>102</v>
      </c>
      <c r="DN6" s="54" t="s">
        <v>24</v>
      </c>
      <c r="DO6" s="54" t="s">
        <v>24</v>
      </c>
      <c r="DP6" s="54" t="s">
        <v>24</v>
      </c>
      <c r="DQ6" s="54" t="s">
        <v>102</v>
      </c>
      <c r="DR6" s="54" t="s">
        <v>24</v>
      </c>
      <c r="DS6" s="54" t="s">
        <v>24</v>
      </c>
      <c r="DT6" s="54" t="s">
        <v>24</v>
      </c>
      <c r="DU6" s="54" t="s">
        <v>24</v>
      </c>
      <c r="DV6" s="54" t="s">
        <v>24</v>
      </c>
      <c r="DW6" s="54" t="s">
        <v>102</v>
      </c>
      <c r="DX6" s="54"/>
      <c r="DY6" s="54" t="s">
        <v>102</v>
      </c>
      <c r="DZ6" s="54"/>
      <c r="EA6" s="54"/>
      <c r="EB6" s="54"/>
      <c r="EC6" s="54"/>
      <c r="ED6" s="54"/>
      <c r="EE6" s="54" t="s">
        <v>24</v>
      </c>
      <c r="EF6" s="54" t="s">
        <v>24</v>
      </c>
      <c r="EG6" s="54" t="s">
        <v>24</v>
      </c>
      <c r="EH6" s="54" t="s">
        <v>24</v>
      </c>
      <c r="EI6" s="54" t="s">
        <v>24</v>
      </c>
      <c r="EJ6" s="54" t="s">
        <v>24</v>
      </c>
      <c r="EK6" s="54" t="s">
        <v>24</v>
      </c>
      <c r="EL6" s="54" t="s">
        <v>24</v>
      </c>
      <c r="EM6" s="54" t="s">
        <v>24</v>
      </c>
      <c r="EN6" s="54" t="s">
        <v>24</v>
      </c>
      <c r="EO6" s="54" t="s">
        <v>24</v>
      </c>
      <c r="EP6" s="54" t="s">
        <v>102</v>
      </c>
      <c r="EQ6" s="54" t="s">
        <v>24</v>
      </c>
      <c r="ER6" s="54" t="s">
        <v>24</v>
      </c>
      <c r="ES6" s="54" t="s">
        <v>24</v>
      </c>
      <c r="ET6" s="54" t="s">
        <v>24</v>
      </c>
      <c r="EU6" s="54" t="s">
        <v>24</v>
      </c>
      <c r="EV6" s="54" t="s">
        <v>24</v>
      </c>
      <c r="EW6" s="54" t="s">
        <v>24</v>
      </c>
      <c r="EX6" s="54" t="s">
        <v>24</v>
      </c>
      <c r="EY6" s="54" t="s">
        <v>24</v>
      </c>
      <c r="EZ6" s="54" t="s">
        <v>24</v>
      </c>
      <c r="FA6" s="54" t="s">
        <v>24</v>
      </c>
      <c r="FB6" s="54" t="s">
        <v>24</v>
      </c>
      <c r="FC6" s="54" t="s">
        <v>24</v>
      </c>
      <c r="FD6" s="54" t="s">
        <v>24</v>
      </c>
      <c r="FE6" s="54" t="s">
        <v>24</v>
      </c>
      <c r="FF6" s="54" t="s">
        <v>24</v>
      </c>
      <c r="FG6" s="54" t="s">
        <v>24</v>
      </c>
      <c r="FH6" s="54" t="s">
        <v>24</v>
      </c>
      <c r="FI6" s="54" t="s">
        <v>24</v>
      </c>
      <c r="FJ6" s="54" t="s">
        <v>24</v>
      </c>
      <c r="FK6" s="54" t="s">
        <v>24</v>
      </c>
      <c r="FL6" s="54" t="s">
        <v>24</v>
      </c>
      <c r="FM6" s="54" t="s">
        <v>24</v>
      </c>
      <c r="FN6" s="54" t="s">
        <v>24</v>
      </c>
      <c r="FO6" s="54" t="s">
        <v>24</v>
      </c>
      <c r="FP6" s="54" t="s">
        <v>24</v>
      </c>
      <c r="FQ6" s="54" t="s">
        <v>24</v>
      </c>
      <c r="FR6" s="54" t="s">
        <v>24</v>
      </c>
      <c r="FS6" s="54" t="s">
        <v>24</v>
      </c>
      <c r="FT6" s="54" t="s">
        <v>24</v>
      </c>
      <c r="FU6" s="54" t="s">
        <v>24</v>
      </c>
      <c r="FV6" s="54" t="s">
        <v>24</v>
      </c>
      <c r="FW6" s="54" t="s">
        <v>24</v>
      </c>
      <c r="FX6" s="54" t="s">
        <v>24</v>
      </c>
      <c r="FY6" s="54" t="s">
        <v>24</v>
      </c>
      <c r="FZ6" s="54" t="s">
        <v>24</v>
      </c>
      <c r="GA6" s="54" t="s">
        <v>24</v>
      </c>
      <c r="GB6" s="54" t="s">
        <v>24</v>
      </c>
      <c r="GC6" s="54" t="s">
        <v>24</v>
      </c>
      <c r="GD6" s="54" t="s">
        <v>24</v>
      </c>
      <c r="GE6" s="54" t="s">
        <v>24</v>
      </c>
      <c r="GF6" s="54" t="s">
        <v>24</v>
      </c>
      <c r="GG6" s="54" t="s">
        <v>24</v>
      </c>
      <c r="GH6" s="54" t="s">
        <v>24</v>
      </c>
      <c r="GI6" s="54" t="s">
        <v>24</v>
      </c>
      <c r="GJ6" s="54" t="s">
        <v>24</v>
      </c>
      <c r="GK6" s="54" t="s">
        <v>24</v>
      </c>
      <c r="GL6" s="54" t="s">
        <v>24</v>
      </c>
      <c r="GM6" s="54" t="s">
        <v>24</v>
      </c>
      <c r="GN6" s="54" t="s">
        <v>24</v>
      </c>
      <c r="GO6" s="54" t="s">
        <v>24</v>
      </c>
      <c r="GP6" s="54" t="s">
        <v>24</v>
      </c>
      <c r="GQ6" s="54" t="s">
        <v>24</v>
      </c>
      <c r="GR6" s="54" t="s">
        <v>24</v>
      </c>
      <c r="GS6" s="54" t="s">
        <v>24</v>
      </c>
      <c r="GT6" s="54" t="s">
        <v>24</v>
      </c>
      <c r="GU6" s="54" t="s">
        <v>24</v>
      </c>
      <c r="GV6" s="54" t="s">
        <v>24</v>
      </c>
    </row>
    <row r="7">
      <c r="A7" s="57" t="s">
        <v>675</v>
      </c>
      <c r="D7" s="53" t="str">
        <f t="array" ref="D7">IF('Wątki'!B8=$A$1,INDIRECT("Klasa"),IF('Wątki'!B8=$A$2,INDIRECT("Grupa"),IF('Wątki'!B8=$A$3,INDIRECT("Postać"),"Nie")))</f>
        <v>Nie</v>
      </c>
      <c r="E7" s="53"/>
      <c r="F7" s="54" t="s">
        <v>25</v>
      </c>
      <c r="G7" s="54" t="s">
        <v>25</v>
      </c>
      <c r="H7" s="54" t="s">
        <v>25</v>
      </c>
      <c r="I7" s="54"/>
      <c r="J7" s="54" t="s">
        <v>25</v>
      </c>
      <c r="K7" s="54" t="s">
        <v>25</v>
      </c>
      <c r="L7" s="54" t="s">
        <v>25</v>
      </c>
      <c r="M7" s="54" t="s">
        <v>25</v>
      </c>
      <c r="N7" s="54" t="s">
        <v>25</v>
      </c>
      <c r="O7" s="54" t="s">
        <v>25</v>
      </c>
      <c r="P7" s="54" t="s">
        <v>25</v>
      </c>
      <c r="Q7" s="54" t="s">
        <v>25</v>
      </c>
      <c r="R7" s="54" t="s">
        <v>25</v>
      </c>
      <c r="S7" s="54" t="s">
        <v>25</v>
      </c>
      <c r="T7" s="54" t="s">
        <v>25</v>
      </c>
      <c r="U7" s="54" t="s">
        <v>25</v>
      </c>
      <c r="V7" s="54" t="s">
        <v>104</v>
      </c>
      <c r="W7" s="54" t="s">
        <v>25</v>
      </c>
      <c r="X7" s="54" t="s">
        <v>25</v>
      </c>
      <c r="Y7" s="54" t="s">
        <v>25</v>
      </c>
      <c r="Z7" s="54" t="s">
        <v>25</v>
      </c>
      <c r="AA7" s="54"/>
      <c r="AB7" s="54" t="s">
        <v>25</v>
      </c>
      <c r="AC7" s="54" t="s">
        <v>25</v>
      </c>
      <c r="AD7" s="54" t="s">
        <v>25</v>
      </c>
      <c r="AE7" s="54" t="s">
        <v>25</v>
      </c>
      <c r="AF7" s="54" t="s">
        <v>25</v>
      </c>
      <c r="AG7" s="54" t="s">
        <v>25</v>
      </c>
      <c r="AH7" s="54" t="s">
        <v>25</v>
      </c>
      <c r="AI7" s="54" t="s">
        <v>25</v>
      </c>
      <c r="AJ7" s="54" t="s">
        <v>25</v>
      </c>
      <c r="AK7" s="54" t="s">
        <v>25</v>
      </c>
      <c r="AL7" s="54" t="s">
        <v>104</v>
      </c>
      <c r="AM7" s="54" t="s">
        <v>25</v>
      </c>
      <c r="AN7" s="54" t="s">
        <v>25</v>
      </c>
      <c r="AO7" s="54" t="s">
        <v>25</v>
      </c>
      <c r="AP7" s="54" t="s">
        <v>25</v>
      </c>
      <c r="AQ7" s="54" t="s">
        <v>25</v>
      </c>
      <c r="AR7" s="54" t="s">
        <v>25</v>
      </c>
      <c r="AS7" s="54" t="s">
        <v>25</v>
      </c>
      <c r="AT7" s="54" t="s">
        <v>25</v>
      </c>
      <c r="AU7" s="54" t="s">
        <v>25</v>
      </c>
      <c r="AV7" s="54" t="s">
        <v>104</v>
      </c>
      <c r="AW7" s="54" t="s">
        <v>25</v>
      </c>
      <c r="AX7" s="54" t="s">
        <v>104</v>
      </c>
      <c r="AY7" s="54" t="s">
        <v>104</v>
      </c>
      <c r="AZ7" s="54" t="s">
        <v>104</v>
      </c>
      <c r="BA7" s="54" t="s">
        <v>104</v>
      </c>
      <c r="BB7" s="54" t="s">
        <v>104</v>
      </c>
      <c r="BC7" s="54" t="s">
        <v>104</v>
      </c>
      <c r="BD7" s="54" t="s">
        <v>104</v>
      </c>
      <c r="BE7" s="54" t="s">
        <v>104</v>
      </c>
      <c r="BF7" s="54" t="s">
        <v>104</v>
      </c>
      <c r="BG7" s="54" t="s">
        <v>104</v>
      </c>
      <c r="BH7" s="54" t="s">
        <v>104</v>
      </c>
      <c r="BI7" s="54" t="s">
        <v>104</v>
      </c>
      <c r="BJ7" s="54" t="s">
        <v>104</v>
      </c>
      <c r="BK7" s="54" t="s">
        <v>104</v>
      </c>
      <c r="BL7" s="54" t="s">
        <v>104</v>
      </c>
      <c r="BM7" s="54" t="s">
        <v>104</v>
      </c>
      <c r="BN7" s="54" t="s">
        <v>104</v>
      </c>
      <c r="BO7" s="54" t="s">
        <v>104</v>
      </c>
      <c r="BP7" s="54" t="s">
        <v>104</v>
      </c>
      <c r="BQ7" s="54" t="s">
        <v>25</v>
      </c>
      <c r="BR7" s="54" t="s">
        <v>25</v>
      </c>
      <c r="BS7" s="54" t="s">
        <v>25</v>
      </c>
      <c r="BT7" s="54" t="s">
        <v>104</v>
      </c>
      <c r="BU7" s="54" t="s">
        <v>25</v>
      </c>
      <c r="BV7" s="54" t="s">
        <v>25</v>
      </c>
      <c r="BW7" s="54" t="s">
        <v>104</v>
      </c>
      <c r="BX7" s="54" t="s">
        <v>25</v>
      </c>
      <c r="BY7" s="54" t="s">
        <v>25</v>
      </c>
      <c r="BZ7" s="54" t="s">
        <v>25</v>
      </c>
      <c r="CA7" s="54" t="s">
        <v>25</v>
      </c>
      <c r="CB7" s="54" t="s">
        <v>25</v>
      </c>
      <c r="CC7" s="54" t="s">
        <v>25</v>
      </c>
      <c r="CD7" s="54" t="s">
        <v>25</v>
      </c>
      <c r="CE7" s="54" t="s">
        <v>25</v>
      </c>
      <c r="CF7" s="54" t="s">
        <v>104</v>
      </c>
      <c r="CG7" s="54" t="s">
        <v>25</v>
      </c>
      <c r="CH7" s="54" t="s">
        <v>25</v>
      </c>
      <c r="CI7" s="54" t="s">
        <v>25</v>
      </c>
      <c r="CJ7" s="54" t="s">
        <v>25</v>
      </c>
      <c r="CK7" s="54" t="s">
        <v>25</v>
      </c>
      <c r="CL7" s="54" t="s">
        <v>25</v>
      </c>
      <c r="CM7" s="54" t="s">
        <v>104</v>
      </c>
      <c r="CN7" s="54"/>
      <c r="CO7" s="54" t="s">
        <v>25</v>
      </c>
      <c r="CP7" s="54" t="s">
        <v>25</v>
      </c>
      <c r="CQ7" s="54" t="s">
        <v>25</v>
      </c>
      <c r="CR7" s="54" t="s">
        <v>25</v>
      </c>
      <c r="CS7" s="54" t="s">
        <v>104</v>
      </c>
      <c r="CT7" s="54" t="s">
        <v>104</v>
      </c>
      <c r="CU7" s="54" t="s">
        <v>25</v>
      </c>
      <c r="CV7" s="54" t="s">
        <v>104</v>
      </c>
      <c r="CW7" s="54" t="s">
        <v>25</v>
      </c>
      <c r="CX7" s="54" t="s">
        <v>25</v>
      </c>
      <c r="CY7" s="54" t="s">
        <v>25</v>
      </c>
      <c r="CZ7" s="54"/>
      <c r="DA7" s="54" t="s">
        <v>25</v>
      </c>
      <c r="DB7" s="54" t="s">
        <v>25</v>
      </c>
      <c r="DC7" s="54" t="s">
        <v>104</v>
      </c>
      <c r="DD7" s="54" t="s">
        <v>104</v>
      </c>
      <c r="DE7" s="54" t="s">
        <v>104</v>
      </c>
      <c r="DF7" s="54" t="s">
        <v>25</v>
      </c>
      <c r="DG7" s="54" t="s">
        <v>25</v>
      </c>
      <c r="DH7" s="54" t="s">
        <v>25</v>
      </c>
      <c r="DI7" s="54" t="s">
        <v>25</v>
      </c>
      <c r="DJ7" s="54" t="s">
        <v>25</v>
      </c>
      <c r="DK7" s="54" t="s">
        <v>104</v>
      </c>
      <c r="DL7" s="54" t="s">
        <v>104</v>
      </c>
      <c r="DM7" s="54" t="s">
        <v>104</v>
      </c>
      <c r="DN7" s="54" t="s">
        <v>25</v>
      </c>
      <c r="DO7" s="54" t="s">
        <v>25</v>
      </c>
      <c r="DP7" s="54" t="s">
        <v>25</v>
      </c>
      <c r="DQ7" s="54" t="s">
        <v>104</v>
      </c>
      <c r="DR7" s="54" t="s">
        <v>25</v>
      </c>
      <c r="DS7" s="54" t="s">
        <v>25</v>
      </c>
      <c r="DT7" s="54" t="s">
        <v>25</v>
      </c>
      <c r="DU7" s="54" t="s">
        <v>25</v>
      </c>
      <c r="DV7" s="54" t="s">
        <v>25</v>
      </c>
      <c r="DW7" s="54" t="s">
        <v>104</v>
      </c>
      <c r="DX7" s="54"/>
      <c r="DY7" s="54" t="s">
        <v>104</v>
      </c>
      <c r="DZ7" s="54"/>
      <c r="EA7" s="54"/>
      <c r="EB7" s="54"/>
      <c r="EC7" s="54"/>
      <c r="ED7" s="54"/>
      <c r="EE7" s="54" t="s">
        <v>25</v>
      </c>
      <c r="EF7" s="54" t="s">
        <v>25</v>
      </c>
      <c r="EG7" s="54" t="s">
        <v>25</v>
      </c>
      <c r="EH7" s="54" t="s">
        <v>25</v>
      </c>
      <c r="EI7" s="54" t="s">
        <v>25</v>
      </c>
      <c r="EJ7" s="54" t="s">
        <v>25</v>
      </c>
      <c r="EK7" s="54" t="s">
        <v>25</v>
      </c>
      <c r="EL7" s="54" t="s">
        <v>25</v>
      </c>
      <c r="EM7" s="54" t="s">
        <v>25</v>
      </c>
      <c r="EN7" s="54" t="s">
        <v>25</v>
      </c>
      <c r="EO7" s="54" t="s">
        <v>25</v>
      </c>
      <c r="EP7" s="54" t="s">
        <v>104</v>
      </c>
      <c r="EQ7" s="54" t="s">
        <v>25</v>
      </c>
      <c r="ER7" s="54" t="s">
        <v>25</v>
      </c>
      <c r="ES7" s="54" t="s">
        <v>25</v>
      </c>
      <c r="ET7" s="54" t="s">
        <v>25</v>
      </c>
      <c r="EU7" s="54" t="s">
        <v>25</v>
      </c>
      <c r="EV7" s="54" t="s">
        <v>25</v>
      </c>
      <c r="EW7" s="54" t="s">
        <v>25</v>
      </c>
      <c r="EX7" s="54" t="s">
        <v>25</v>
      </c>
      <c r="EY7" s="54" t="s">
        <v>25</v>
      </c>
      <c r="EZ7" s="54" t="s">
        <v>25</v>
      </c>
      <c r="FA7" s="54" t="s">
        <v>25</v>
      </c>
      <c r="FB7" s="54" t="s">
        <v>25</v>
      </c>
      <c r="FC7" s="54" t="s">
        <v>25</v>
      </c>
      <c r="FD7" s="54" t="s">
        <v>25</v>
      </c>
      <c r="FE7" s="54" t="s">
        <v>25</v>
      </c>
      <c r="FF7" s="54" t="s">
        <v>25</v>
      </c>
      <c r="FG7" s="54" t="s">
        <v>25</v>
      </c>
      <c r="FH7" s="54" t="s">
        <v>25</v>
      </c>
      <c r="FI7" s="54" t="s">
        <v>25</v>
      </c>
      <c r="FJ7" s="54" t="s">
        <v>25</v>
      </c>
      <c r="FK7" s="54" t="s">
        <v>25</v>
      </c>
      <c r="FL7" s="54" t="s">
        <v>25</v>
      </c>
      <c r="FM7" s="54" t="s">
        <v>25</v>
      </c>
      <c r="FN7" s="54" t="s">
        <v>25</v>
      </c>
      <c r="FO7" s="54" t="s">
        <v>25</v>
      </c>
      <c r="FP7" s="54" t="s">
        <v>25</v>
      </c>
      <c r="FQ7" s="54" t="s">
        <v>25</v>
      </c>
      <c r="FR7" s="54" t="s">
        <v>25</v>
      </c>
      <c r="FS7" s="54" t="s">
        <v>25</v>
      </c>
      <c r="FT7" s="54" t="s">
        <v>25</v>
      </c>
      <c r="FU7" s="54" t="s">
        <v>25</v>
      </c>
      <c r="FV7" s="54" t="s">
        <v>25</v>
      </c>
      <c r="FW7" s="54" t="s">
        <v>25</v>
      </c>
      <c r="FX7" s="54" t="s">
        <v>25</v>
      </c>
      <c r="FY7" s="54" t="s">
        <v>25</v>
      </c>
      <c r="FZ7" s="54" t="s">
        <v>25</v>
      </c>
      <c r="GA7" s="54" t="s">
        <v>25</v>
      </c>
      <c r="GB7" s="54" t="s">
        <v>25</v>
      </c>
      <c r="GC7" s="54" t="s">
        <v>25</v>
      </c>
      <c r="GD7" s="54" t="s">
        <v>25</v>
      </c>
      <c r="GE7" s="54" t="s">
        <v>25</v>
      </c>
      <c r="GF7" s="54" t="s">
        <v>25</v>
      </c>
      <c r="GG7" s="54" t="s">
        <v>25</v>
      </c>
      <c r="GH7" s="54" t="s">
        <v>25</v>
      </c>
      <c r="GI7" s="54" t="s">
        <v>25</v>
      </c>
      <c r="GJ7" s="54" t="s">
        <v>25</v>
      </c>
      <c r="GK7" s="54" t="s">
        <v>25</v>
      </c>
      <c r="GL7" s="54" t="s">
        <v>25</v>
      </c>
      <c r="GM7" s="54" t="s">
        <v>25</v>
      </c>
      <c r="GN7" s="54" t="s">
        <v>25</v>
      </c>
      <c r="GO7" s="54" t="s">
        <v>25</v>
      </c>
      <c r="GP7" s="54" t="s">
        <v>25</v>
      </c>
      <c r="GQ7" s="54" t="s">
        <v>25</v>
      </c>
      <c r="GR7" s="54" t="s">
        <v>25</v>
      </c>
      <c r="GS7" s="54" t="s">
        <v>25</v>
      </c>
      <c r="GT7" s="54" t="s">
        <v>25</v>
      </c>
      <c r="GU7" s="54" t="s">
        <v>25</v>
      </c>
      <c r="GV7" s="54" t="s">
        <v>25</v>
      </c>
    </row>
    <row r="8">
      <c r="A8" s="57" t="s">
        <v>205</v>
      </c>
      <c r="D8" s="53" t="str">
        <f t="array" ref="D8">IF('Wątki'!B9=$A$1,INDIRECT("Klasa"),IF('Wątki'!B9=$A$2,INDIRECT("Grupa"),IF('Wątki'!B9=$A$3,INDIRECT("Postać"),"Nie")))</f>
        <v>Nie</v>
      </c>
      <c r="E8" s="53"/>
      <c r="F8" s="54" t="s">
        <v>26</v>
      </c>
      <c r="G8" s="54" t="s">
        <v>26</v>
      </c>
      <c r="H8" s="54" t="s">
        <v>26</v>
      </c>
      <c r="I8" s="54"/>
      <c r="J8" s="54" t="s">
        <v>26</v>
      </c>
      <c r="K8" s="54" t="s">
        <v>26</v>
      </c>
      <c r="L8" s="54" t="s">
        <v>26</v>
      </c>
      <c r="M8" s="54" t="s">
        <v>26</v>
      </c>
      <c r="N8" s="54" t="s">
        <v>26</v>
      </c>
      <c r="O8" s="54" t="s">
        <v>26</v>
      </c>
      <c r="P8" s="54" t="s">
        <v>26</v>
      </c>
      <c r="Q8" s="54" t="s">
        <v>26</v>
      </c>
      <c r="R8" s="54" t="s">
        <v>26</v>
      </c>
      <c r="S8" s="54" t="s">
        <v>26</v>
      </c>
      <c r="T8" s="54" t="s">
        <v>26</v>
      </c>
      <c r="U8" s="54" t="s">
        <v>26</v>
      </c>
      <c r="V8" s="54" t="s">
        <v>106</v>
      </c>
      <c r="W8" s="54" t="s">
        <v>26</v>
      </c>
      <c r="X8" s="54" t="s">
        <v>26</v>
      </c>
      <c r="Y8" s="54" t="s">
        <v>26</v>
      </c>
      <c r="Z8" s="54" t="s">
        <v>26</v>
      </c>
      <c r="AA8" s="54"/>
      <c r="AB8" s="54" t="s">
        <v>26</v>
      </c>
      <c r="AC8" s="54" t="s">
        <v>26</v>
      </c>
      <c r="AD8" s="54" t="s">
        <v>26</v>
      </c>
      <c r="AE8" s="54" t="s">
        <v>26</v>
      </c>
      <c r="AF8" s="54" t="s">
        <v>26</v>
      </c>
      <c r="AG8" s="54" t="s">
        <v>26</v>
      </c>
      <c r="AH8" s="54" t="s">
        <v>26</v>
      </c>
      <c r="AI8" s="54" t="s">
        <v>26</v>
      </c>
      <c r="AJ8" s="54" t="s">
        <v>26</v>
      </c>
      <c r="AK8" s="54" t="s">
        <v>26</v>
      </c>
      <c r="AL8" s="54" t="s">
        <v>106</v>
      </c>
      <c r="AM8" s="54" t="s">
        <v>26</v>
      </c>
      <c r="AN8" s="54" t="s">
        <v>26</v>
      </c>
      <c r="AO8" s="54" t="s">
        <v>26</v>
      </c>
      <c r="AP8" s="54" t="s">
        <v>26</v>
      </c>
      <c r="AQ8" s="54" t="s">
        <v>26</v>
      </c>
      <c r="AR8" s="54" t="s">
        <v>26</v>
      </c>
      <c r="AS8" s="54" t="s">
        <v>26</v>
      </c>
      <c r="AT8" s="54" t="s">
        <v>26</v>
      </c>
      <c r="AU8" s="54" t="s">
        <v>26</v>
      </c>
      <c r="AV8" s="54" t="s">
        <v>106</v>
      </c>
      <c r="AW8" s="54" t="s">
        <v>26</v>
      </c>
      <c r="AX8" s="54" t="s">
        <v>106</v>
      </c>
      <c r="AY8" s="54" t="s">
        <v>106</v>
      </c>
      <c r="AZ8" s="54" t="s">
        <v>106</v>
      </c>
      <c r="BA8" s="54" t="s">
        <v>106</v>
      </c>
      <c r="BB8" s="54" t="s">
        <v>106</v>
      </c>
      <c r="BC8" s="54" t="s">
        <v>106</v>
      </c>
      <c r="BD8" s="54" t="s">
        <v>106</v>
      </c>
      <c r="BE8" s="54" t="s">
        <v>106</v>
      </c>
      <c r="BF8" s="54" t="s">
        <v>106</v>
      </c>
      <c r="BG8" s="54" t="s">
        <v>106</v>
      </c>
      <c r="BH8" s="54" t="s">
        <v>106</v>
      </c>
      <c r="BI8" s="54" t="s">
        <v>106</v>
      </c>
      <c r="BJ8" s="54" t="s">
        <v>106</v>
      </c>
      <c r="BK8" s="54" t="s">
        <v>106</v>
      </c>
      <c r="BL8" s="54" t="s">
        <v>106</v>
      </c>
      <c r="BM8" s="54" t="s">
        <v>106</v>
      </c>
      <c r="BN8" s="54" t="s">
        <v>106</v>
      </c>
      <c r="BO8" s="54" t="s">
        <v>106</v>
      </c>
      <c r="BP8" s="54" t="s">
        <v>106</v>
      </c>
      <c r="BQ8" s="54" t="s">
        <v>26</v>
      </c>
      <c r="BR8" s="54" t="s">
        <v>26</v>
      </c>
      <c r="BS8" s="54" t="s">
        <v>26</v>
      </c>
      <c r="BT8" s="54" t="s">
        <v>106</v>
      </c>
      <c r="BU8" s="54" t="s">
        <v>26</v>
      </c>
      <c r="BV8" s="54" t="s">
        <v>26</v>
      </c>
      <c r="BW8" s="54" t="s">
        <v>106</v>
      </c>
      <c r="BX8" s="54" t="s">
        <v>26</v>
      </c>
      <c r="BY8" s="54" t="s">
        <v>26</v>
      </c>
      <c r="BZ8" s="54" t="s">
        <v>26</v>
      </c>
      <c r="CA8" s="54" t="s">
        <v>26</v>
      </c>
      <c r="CB8" s="54" t="s">
        <v>26</v>
      </c>
      <c r="CC8" s="54" t="s">
        <v>26</v>
      </c>
      <c r="CD8" s="54" t="s">
        <v>26</v>
      </c>
      <c r="CE8" s="54" t="s">
        <v>26</v>
      </c>
      <c r="CF8" s="54" t="s">
        <v>106</v>
      </c>
      <c r="CG8" s="54" t="s">
        <v>26</v>
      </c>
      <c r="CH8" s="54" t="s">
        <v>26</v>
      </c>
      <c r="CI8" s="54" t="s">
        <v>26</v>
      </c>
      <c r="CJ8" s="54" t="s">
        <v>26</v>
      </c>
      <c r="CK8" s="54" t="s">
        <v>26</v>
      </c>
      <c r="CL8" s="54" t="s">
        <v>26</v>
      </c>
      <c r="CM8" s="54" t="s">
        <v>106</v>
      </c>
      <c r="CN8" s="54"/>
      <c r="CO8" s="54" t="s">
        <v>26</v>
      </c>
      <c r="CP8" s="54" t="s">
        <v>26</v>
      </c>
      <c r="CQ8" s="54" t="s">
        <v>26</v>
      </c>
      <c r="CR8" s="54" t="s">
        <v>26</v>
      </c>
      <c r="CS8" s="54" t="s">
        <v>106</v>
      </c>
      <c r="CT8" s="54" t="s">
        <v>106</v>
      </c>
      <c r="CU8" s="54" t="s">
        <v>26</v>
      </c>
      <c r="CV8" s="54" t="s">
        <v>106</v>
      </c>
      <c r="CW8" s="54" t="s">
        <v>26</v>
      </c>
      <c r="CX8" s="54" t="s">
        <v>26</v>
      </c>
      <c r="CY8" s="54" t="s">
        <v>26</v>
      </c>
      <c r="CZ8" s="54"/>
      <c r="DA8" s="54" t="s">
        <v>26</v>
      </c>
      <c r="DB8" s="54" t="s">
        <v>26</v>
      </c>
      <c r="DC8" s="54" t="s">
        <v>106</v>
      </c>
      <c r="DD8" s="54" t="s">
        <v>106</v>
      </c>
      <c r="DE8" s="54" t="s">
        <v>106</v>
      </c>
      <c r="DF8" s="54" t="s">
        <v>26</v>
      </c>
      <c r="DG8" s="54" t="s">
        <v>26</v>
      </c>
      <c r="DH8" s="54" t="s">
        <v>26</v>
      </c>
      <c r="DI8" s="54" t="s">
        <v>26</v>
      </c>
      <c r="DJ8" s="54" t="s">
        <v>26</v>
      </c>
      <c r="DK8" s="54" t="s">
        <v>106</v>
      </c>
      <c r="DL8" s="54" t="s">
        <v>106</v>
      </c>
      <c r="DM8" s="54" t="s">
        <v>106</v>
      </c>
      <c r="DN8" s="54" t="s">
        <v>26</v>
      </c>
      <c r="DO8" s="54" t="s">
        <v>26</v>
      </c>
      <c r="DP8" s="54" t="s">
        <v>26</v>
      </c>
      <c r="DQ8" s="54" t="s">
        <v>106</v>
      </c>
      <c r="DR8" s="54" t="s">
        <v>26</v>
      </c>
      <c r="DS8" s="54" t="s">
        <v>26</v>
      </c>
      <c r="DT8" s="54" t="s">
        <v>26</v>
      </c>
      <c r="DU8" s="54" t="s">
        <v>26</v>
      </c>
      <c r="DV8" s="54" t="s">
        <v>26</v>
      </c>
      <c r="DW8" s="54" t="s">
        <v>106</v>
      </c>
      <c r="DX8" s="54"/>
      <c r="DY8" s="54" t="s">
        <v>106</v>
      </c>
      <c r="DZ8" s="54"/>
      <c r="EA8" s="54"/>
      <c r="EB8" s="54"/>
      <c r="EC8" s="54"/>
      <c r="ED8" s="54"/>
      <c r="EE8" s="54" t="s">
        <v>26</v>
      </c>
      <c r="EF8" s="54" t="s">
        <v>26</v>
      </c>
      <c r="EG8" s="54" t="s">
        <v>26</v>
      </c>
      <c r="EH8" s="54" t="s">
        <v>26</v>
      </c>
      <c r="EI8" s="54" t="s">
        <v>26</v>
      </c>
      <c r="EJ8" s="54" t="s">
        <v>26</v>
      </c>
      <c r="EK8" s="54" t="s">
        <v>26</v>
      </c>
      <c r="EL8" s="54" t="s">
        <v>26</v>
      </c>
      <c r="EM8" s="54" t="s">
        <v>26</v>
      </c>
      <c r="EN8" s="54" t="s">
        <v>26</v>
      </c>
      <c r="EO8" s="54" t="s">
        <v>26</v>
      </c>
      <c r="EP8" s="54" t="s">
        <v>106</v>
      </c>
      <c r="EQ8" s="54" t="s">
        <v>26</v>
      </c>
      <c r="ER8" s="54" t="s">
        <v>26</v>
      </c>
      <c r="ES8" s="54" t="s">
        <v>26</v>
      </c>
      <c r="ET8" s="54" t="s">
        <v>26</v>
      </c>
      <c r="EU8" s="54" t="s">
        <v>26</v>
      </c>
      <c r="EV8" s="54" t="s">
        <v>26</v>
      </c>
      <c r="EW8" s="54" t="s">
        <v>26</v>
      </c>
      <c r="EX8" s="54" t="s">
        <v>26</v>
      </c>
      <c r="EY8" s="54" t="s">
        <v>26</v>
      </c>
      <c r="EZ8" s="54" t="s">
        <v>26</v>
      </c>
      <c r="FA8" s="54" t="s">
        <v>26</v>
      </c>
      <c r="FB8" s="54" t="s">
        <v>26</v>
      </c>
      <c r="FC8" s="54" t="s">
        <v>26</v>
      </c>
      <c r="FD8" s="54" t="s">
        <v>26</v>
      </c>
      <c r="FE8" s="54" t="s">
        <v>26</v>
      </c>
      <c r="FF8" s="54" t="s">
        <v>26</v>
      </c>
      <c r="FG8" s="54" t="s">
        <v>26</v>
      </c>
      <c r="FH8" s="54" t="s">
        <v>26</v>
      </c>
      <c r="FI8" s="54" t="s">
        <v>26</v>
      </c>
      <c r="FJ8" s="54" t="s">
        <v>26</v>
      </c>
      <c r="FK8" s="54" t="s">
        <v>26</v>
      </c>
      <c r="FL8" s="54" t="s">
        <v>26</v>
      </c>
      <c r="FM8" s="54" t="s">
        <v>26</v>
      </c>
      <c r="FN8" s="54" t="s">
        <v>26</v>
      </c>
      <c r="FO8" s="54" t="s">
        <v>26</v>
      </c>
      <c r="FP8" s="54" t="s">
        <v>26</v>
      </c>
      <c r="FQ8" s="54" t="s">
        <v>26</v>
      </c>
      <c r="FR8" s="54" t="s">
        <v>26</v>
      </c>
      <c r="FS8" s="54" t="s">
        <v>26</v>
      </c>
      <c r="FT8" s="54" t="s">
        <v>26</v>
      </c>
      <c r="FU8" s="54" t="s">
        <v>26</v>
      </c>
      <c r="FV8" s="54" t="s">
        <v>26</v>
      </c>
      <c r="FW8" s="54" t="s">
        <v>26</v>
      </c>
      <c r="FX8" s="54" t="s">
        <v>26</v>
      </c>
      <c r="FY8" s="54" t="s">
        <v>26</v>
      </c>
      <c r="FZ8" s="54" t="s">
        <v>26</v>
      </c>
      <c r="GA8" s="54" t="s">
        <v>26</v>
      </c>
      <c r="GB8" s="54" t="s">
        <v>26</v>
      </c>
      <c r="GC8" s="54" t="s">
        <v>26</v>
      </c>
      <c r="GD8" s="54" t="s">
        <v>26</v>
      </c>
      <c r="GE8" s="54" t="s">
        <v>26</v>
      </c>
      <c r="GF8" s="54" t="s">
        <v>26</v>
      </c>
      <c r="GG8" s="54" t="s">
        <v>26</v>
      </c>
      <c r="GH8" s="54" t="s">
        <v>26</v>
      </c>
      <c r="GI8" s="54" t="s">
        <v>26</v>
      </c>
      <c r="GJ8" s="54" t="s">
        <v>26</v>
      </c>
      <c r="GK8" s="54" t="s">
        <v>26</v>
      </c>
      <c r="GL8" s="54" t="s">
        <v>26</v>
      </c>
      <c r="GM8" s="54" t="s">
        <v>26</v>
      </c>
      <c r="GN8" s="54" t="s">
        <v>26</v>
      </c>
      <c r="GO8" s="54" t="s">
        <v>26</v>
      </c>
      <c r="GP8" s="54" t="s">
        <v>26</v>
      </c>
      <c r="GQ8" s="54" t="s">
        <v>26</v>
      </c>
      <c r="GR8" s="54" t="s">
        <v>26</v>
      </c>
      <c r="GS8" s="54" t="s">
        <v>26</v>
      </c>
      <c r="GT8" s="54" t="s">
        <v>26</v>
      </c>
      <c r="GU8" s="54" t="s">
        <v>26</v>
      </c>
      <c r="GV8" s="54" t="s">
        <v>26</v>
      </c>
    </row>
    <row r="9">
      <c r="A9" s="57" t="s">
        <v>676</v>
      </c>
      <c r="D9" s="53" t="str">
        <f t="array" ref="D9">IF('Wątki'!B10=$A$1,INDIRECT("Klasa"),IF('Wątki'!B10=$A$2,INDIRECT("Grupa"),IF('Wątki'!B10=$A$3,INDIRECT("Postać"),"Nie")))</f>
        <v>Nie</v>
      </c>
      <c r="E9" s="53"/>
      <c r="F9" s="54" t="s">
        <v>27</v>
      </c>
      <c r="G9" s="54" t="s">
        <v>27</v>
      </c>
      <c r="H9" s="54" t="s">
        <v>27</v>
      </c>
      <c r="I9" s="54"/>
      <c r="J9" s="54" t="s">
        <v>27</v>
      </c>
      <c r="K9" s="54" t="s">
        <v>27</v>
      </c>
      <c r="L9" s="54" t="s">
        <v>27</v>
      </c>
      <c r="M9" s="54" t="s">
        <v>27</v>
      </c>
      <c r="N9" s="54" t="s">
        <v>27</v>
      </c>
      <c r="O9" s="54" t="s">
        <v>27</v>
      </c>
      <c r="P9" s="54" t="s">
        <v>27</v>
      </c>
      <c r="Q9" s="54" t="s">
        <v>27</v>
      </c>
      <c r="R9" s="54" t="s">
        <v>27</v>
      </c>
      <c r="S9" s="54" t="s">
        <v>27</v>
      </c>
      <c r="T9" s="54" t="s">
        <v>27</v>
      </c>
      <c r="U9" s="54" t="s">
        <v>27</v>
      </c>
      <c r="V9" s="54" t="s">
        <v>108</v>
      </c>
      <c r="W9" s="54" t="s">
        <v>27</v>
      </c>
      <c r="X9" s="54" t="s">
        <v>27</v>
      </c>
      <c r="Y9" s="54" t="s">
        <v>27</v>
      </c>
      <c r="Z9" s="54" t="s">
        <v>27</v>
      </c>
      <c r="AA9" s="54"/>
      <c r="AB9" s="54" t="s">
        <v>27</v>
      </c>
      <c r="AC9" s="54" t="s">
        <v>27</v>
      </c>
      <c r="AD9" s="54" t="s">
        <v>27</v>
      </c>
      <c r="AE9" s="54" t="s">
        <v>27</v>
      </c>
      <c r="AF9" s="54" t="s">
        <v>27</v>
      </c>
      <c r="AG9" s="54" t="s">
        <v>27</v>
      </c>
      <c r="AH9" s="54" t="s">
        <v>27</v>
      </c>
      <c r="AI9" s="54" t="s">
        <v>27</v>
      </c>
      <c r="AJ9" s="54" t="s">
        <v>27</v>
      </c>
      <c r="AK9" s="54" t="s">
        <v>27</v>
      </c>
      <c r="AL9" s="54" t="s">
        <v>108</v>
      </c>
      <c r="AM9" s="54" t="s">
        <v>27</v>
      </c>
      <c r="AN9" s="54" t="s">
        <v>27</v>
      </c>
      <c r="AO9" s="54" t="s">
        <v>27</v>
      </c>
      <c r="AP9" s="54" t="s">
        <v>27</v>
      </c>
      <c r="AQ9" s="54" t="s">
        <v>27</v>
      </c>
      <c r="AR9" s="54" t="s">
        <v>27</v>
      </c>
      <c r="AS9" s="54" t="s">
        <v>27</v>
      </c>
      <c r="AT9" s="54" t="s">
        <v>27</v>
      </c>
      <c r="AU9" s="54" t="s">
        <v>27</v>
      </c>
      <c r="AV9" s="54" t="s">
        <v>108</v>
      </c>
      <c r="AW9" s="54" t="s">
        <v>27</v>
      </c>
      <c r="AX9" s="54" t="s">
        <v>108</v>
      </c>
      <c r="AY9" s="54" t="s">
        <v>108</v>
      </c>
      <c r="AZ9" s="54" t="s">
        <v>108</v>
      </c>
      <c r="BA9" s="54" t="s">
        <v>108</v>
      </c>
      <c r="BB9" s="54" t="s">
        <v>108</v>
      </c>
      <c r="BC9" s="54" t="s">
        <v>108</v>
      </c>
      <c r="BD9" s="54" t="s">
        <v>108</v>
      </c>
      <c r="BE9" s="54" t="s">
        <v>108</v>
      </c>
      <c r="BF9" s="54" t="s">
        <v>108</v>
      </c>
      <c r="BG9" s="54" t="s">
        <v>108</v>
      </c>
      <c r="BH9" s="54" t="s">
        <v>108</v>
      </c>
      <c r="BI9" s="54" t="s">
        <v>108</v>
      </c>
      <c r="BJ9" s="54" t="s">
        <v>108</v>
      </c>
      <c r="BK9" s="54" t="s">
        <v>108</v>
      </c>
      <c r="BL9" s="54" t="s">
        <v>108</v>
      </c>
      <c r="BM9" s="54" t="s">
        <v>108</v>
      </c>
      <c r="BN9" s="54" t="s">
        <v>108</v>
      </c>
      <c r="BO9" s="54" t="s">
        <v>108</v>
      </c>
      <c r="BP9" s="54" t="s">
        <v>108</v>
      </c>
      <c r="BQ9" s="54" t="s">
        <v>27</v>
      </c>
      <c r="BR9" s="54" t="s">
        <v>27</v>
      </c>
      <c r="BS9" s="54" t="s">
        <v>27</v>
      </c>
      <c r="BT9" s="54" t="s">
        <v>108</v>
      </c>
      <c r="BU9" s="54" t="s">
        <v>27</v>
      </c>
      <c r="BV9" s="54" t="s">
        <v>27</v>
      </c>
      <c r="BW9" s="54" t="s">
        <v>108</v>
      </c>
      <c r="BX9" s="54" t="s">
        <v>27</v>
      </c>
      <c r="BY9" s="54" t="s">
        <v>27</v>
      </c>
      <c r="BZ9" s="54" t="s">
        <v>27</v>
      </c>
      <c r="CA9" s="54" t="s">
        <v>27</v>
      </c>
      <c r="CB9" s="54" t="s">
        <v>27</v>
      </c>
      <c r="CC9" s="54" t="s">
        <v>27</v>
      </c>
      <c r="CD9" s="54" t="s">
        <v>27</v>
      </c>
      <c r="CE9" s="54" t="s">
        <v>27</v>
      </c>
      <c r="CF9" s="54" t="s">
        <v>108</v>
      </c>
      <c r="CG9" s="54" t="s">
        <v>27</v>
      </c>
      <c r="CH9" s="54" t="s">
        <v>27</v>
      </c>
      <c r="CI9" s="54" t="s">
        <v>27</v>
      </c>
      <c r="CJ9" s="54" t="s">
        <v>27</v>
      </c>
      <c r="CK9" s="54" t="s">
        <v>27</v>
      </c>
      <c r="CL9" s="54" t="s">
        <v>27</v>
      </c>
      <c r="CM9" s="54" t="s">
        <v>108</v>
      </c>
      <c r="CN9" s="54"/>
      <c r="CO9" s="54" t="s">
        <v>27</v>
      </c>
      <c r="CP9" s="54" t="s">
        <v>27</v>
      </c>
      <c r="CQ9" s="54" t="s">
        <v>27</v>
      </c>
      <c r="CR9" s="54" t="s">
        <v>27</v>
      </c>
      <c r="CS9" s="54" t="s">
        <v>108</v>
      </c>
      <c r="CT9" s="54" t="s">
        <v>108</v>
      </c>
      <c r="CU9" s="54" t="s">
        <v>27</v>
      </c>
      <c r="CV9" s="54" t="s">
        <v>108</v>
      </c>
      <c r="CW9" s="54" t="s">
        <v>27</v>
      </c>
      <c r="CX9" s="54" t="s">
        <v>27</v>
      </c>
      <c r="CY9" s="54" t="s">
        <v>27</v>
      </c>
      <c r="CZ9" s="54"/>
      <c r="DA9" s="54" t="s">
        <v>27</v>
      </c>
      <c r="DB9" s="54" t="s">
        <v>27</v>
      </c>
      <c r="DC9" s="54" t="s">
        <v>108</v>
      </c>
      <c r="DD9" s="54" t="s">
        <v>108</v>
      </c>
      <c r="DE9" s="54" t="s">
        <v>108</v>
      </c>
      <c r="DF9" s="54" t="s">
        <v>27</v>
      </c>
      <c r="DG9" s="54" t="s">
        <v>27</v>
      </c>
      <c r="DH9" s="54" t="s">
        <v>27</v>
      </c>
      <c r="DI9" s="54" t="s">
        <v>27</v>
      </c>
      <c r="DJ9" s="54" t="s">
        <v>27</v>
      </c>
      <c r="DK9" s="54" t="s">
        <v>108</v>
      </c>
      <c r="DL9" s="54" t="s">
        <v>108</v>
      </c>
      <c r="DM9" s="54" t="s">
        <v>108</v>
      </c>
      <c r="DN9" s="54" t="s">
        <v>27</v>
      </c>
      <c r="DO9" s="54" t="s">
        <v>27</v>
      </c>
      <c r="DP9" s="54" t="s">
        <v>27</v>
      </c>
      <c r="DQ9" s="54" t="s">
        <v>108</v>
      </c>
      <c r="DR9" s="54" t="s">
        <v>27</v>
      </c>
      <c r="DS9" s="54" t="s">
        <v>27</v>
      </c>
      <c r="DT9" s="54" t="s">
        <v>27</v>
      </c>
      <c r="DU9" s="54" t="s">
        <v>27</v>
      </c>
      <c r="DV9" s="54" t="s">
        <v>27</v>
      </c>
      <c r="DW9" s="54" t="s">
        <v>108</v>
      </c>
      <c r="DX9" s="54"/>
      <c r="DY9" s="54" t="s">
        <v>108</v>
      </c>
      <c r="DZ9" s="54"/>
      <c r="EA9" s="54"/>
      <c r="EB9" s="54"/>
      <c r="EC9" s="54"/>
      <c r="ED9" s="54"/>
      <c r="EE9" s="54" t="s">
        <v>27</v>
      </c>
      <c r="EF9" s="54" t="s">
        <v>27</v>
      </c>
      <c r="EG9" s="54" t="s">
        <v>27</v>
      </c>
      <c r="EH9" s="54" t="s">
        <v>27</v>
      </c>
      <c r="EI9" s="54" t="s">
        <v>27</v>
      </c>
      <c r="EJ9" s="54" t="s">
        <v>27</v>
      </c>
      <c r="EK9" s="54" t="s">
        <v>27</v>
      </c>
      <c r="EL9" s="54" t="s">
        <v>27</v>
      </c>
      <c r="EM9" s="54" t="s">
        <v>27</v>
      </c>
      <c r="EN9" s="54" t="s">
        <v>27</v>
      </c>
      <c r="EO9" s="54" t="s">
        <v>27</v>
      </c>
      <c r="EP9" s="54" t="s">
        <v>108</v>
      </c>
      <c r="EQ9" s="54" t="s">
        <v>27</v>
      </c>
      <c r="ER9" s="54" t="s">
        <v>27</v>
      </c>
      <c r="ES9" s="54" t="s">
        <v>27</v>
      </c>
      <c r="ET9" s="54" t="s">
        <v>27</v>
      </c>
      <c r="EU9" s="54" t="s">
        <v>27</v>
      </c>
      <c r="EV9" s="54" t="s">
        <v>27</v>
      </c>
      <c r="EW9" s="54" t="s">
        <v>27</v>
      </c>
      <c r="EX9" s="54" t="s">
        <v>27</v>
      </c>
      <c r="EY9" s="54" t="s">
        <v>27</v>
      </c>
      <c r="EZ9" s="54" t="s">
        <v>27</v>
      </c>
      <c r="FA9" s="54" t="s">
        <v>27</v>
      </c>
      <c r="FB9" s="54" t="s">
        <v>27</v>
      </c>
      <c r="FC9" s="54" t="s">
        <v>27</v>
      </c>
      <c r="FD9" s="54" t="s">
        <v>27</v>
      </c>
      <c r="FE9" s="54" t="s">
        <v>27</v>
      </c>
      <c r="FF9" s="54" t="s">
        <v>27</v>
      </c>
      <c r="FG9" s="54" t="s">
        <v>27</v>
      </c>
      <c r="FH9" s="54" t="s">
        <v>27</v>
      </c>
      <c r="FI9" s="54" t="s">
        <v>27</v>
      </c>
      <c r="FJ9" s="54" t="s">
        <v>27</v>
      </c>
      <c r="FK9" s="54" t="s">
        <v>27</v>
      </c>
      <c r="FL9" s="54" t="s">
        <v>27</v>
      </c>
      <c r="FM9" s="54" t="s">
        <v>27</v>
      </c>
      <c r="FN9" s="54" t="s">
        <v>27</v>
      </c>
      <c r="FO9" s="54" t="s">
        <v>27</v>
      </c>
      <c r="FP9" s="54" t="s">
        <v>27</v>
      </c>
      <c r="FQ9" s="54" t="s">
        <v>27</v>
      </c>
      <c r="FR9" s="54" t="s">
        <v>27</v>
      </c>
      <c r="FS9" s="54" t="s">
        <v>27</v>
      </c>
      <c r="FT9" s="54" t="s">
        <v>27</v>
      </c>
      <c r="FU9" s="54" t="s">
        <v>27</v>
      </c>
      <c r="FV9" s="54" t="s">
        <v>27</v>
      </c>
      <c r="FW9" s="54" t="s">
        <v>27</v>
      </c>
      <c r="FX9" s="54" t="s">
        <v>27</v>
      </c>
      <c r="FY9" s="54" t="s">
        <v>27</v>
      </c>
      <c r="FZ9" s="54" t="s">
        <v>27</v>
      </c>
      <c r="GA9" s="54" t="s">
        <v>27</v>
      </c>
      <c r="GB9" s="54" t="s">
        <v>27</v>
      </c>
      <c r="GC9" s="54" t="s">
        <v>27</v>
      </c>
      <c r="GD9" s="54" t="s">
        <v>27</v>
      </c>
      <c r="GE9" s="54" t="s">
        <v>27</v>
      </c>
      <c r="GF9" s="54" t="s">
        <v>27</v>
      </c>
      <c r="GG9" s="54" t="s">
        <v>27</v>
      </c>
      <c r="GH9" s="54" t="s">
        <v>27</v>
      </c>
      <c r="GI9" s="54" t="s">
        <v>27</v>
      </c>
      <c r="GJ9" s="54" t="s">
        <v>27</v>
      </c>
      <c r="GK9" s="54" t="s">
        <v>27</v>
      </c>
      <c r="GL9" s="54" t="s">
        <v>27</v>
      </c>
      <c r="GM9" s="54" t="s">
        <v>27</v>
      </c>
      <c r="GN9" s="54" t="s">
        <v>27</v>
      </c>
      <c r="GO9" s="54" t="s">
        <v>27</v>
      </c>
      <c r="GP9" s="54" t="s">
        <v>27</v>
      </c>
      <c r="GQ9" s="54" t="s">
        <v>27</v>
      </c>
      <c r="GR9" s="54" t="s">
        <v>27</v>
      </c>
      <c r="GS9" s="54" t="s">
        <v>27</v>
      </c>
      <c r="GT9" s="54" t="s">
        <v>27</v>
      </c>
      <c r="GU9" s="54" t="s">
        <v>27</v>
      </c>
      <c r="GV9" s="54" t="s">
        <v>27</v>
      </c>
    </row>
    <row r="10">
      <c r="A10" s="57" t="s">
        <v>677</v>
      </c>
      <c r="D10" s="53" t="str">
        <f t="array" ref="D10">IF('Wątki'!B11=$A$1,INDIRECT("Klasa"),IF('Wątki'!B11=$A$2,INDIRECT("Grupa"),IF('Wątki'!B11=$A$3,INDIRECT("Postać"),"Nie")))</f>
        <v>Nie</v>
      </c>
      <c r="E10" s="53"/>
      <c r="F10" s="54" t="s">
        <v>28</v>
      </c>
      <c r="G10" s="54" t="s">
        <v>28</v>
      </c>
      <c r="H10" s="54" t="s">
        <v>28</v>
      </c>
      <c r="I10" s="54"/>
      <c r="J10" s="54" t="s">
        <v>28</v>
      </c>
      <c r="K10" s="54" t="s">
        <v>28</v>
      </c>
      <c r="L10" s="54" t="s">
        <v>28</v>
      </c>
      <c r="M10" s="54" t="s">
        <v>28</v>
      </c>
      <c r="N10" s="54" t="s">
        <v>28</v>
      </c>
      <c r="O10" s="54" t="s">
        <v>28</v>
      </c>
      <c r="P10" s="54" t="s">
        <v>28</v>
      </c>
      <c r="Q10" s="54" t="s">
        <v>28</v>
      </c>
      <c r="R10" s="54" t="s">
        <v>28</v>
      </c>
      <c r="S10" s="54" t="s">
        <v>28</v>
      </c>
      <c r="T10" s="54" t="s">
        <v>28</v>
      </c>
      <c r="U10" s="54" t="s">
        <v>28</v>
      </c>
      <c r="V10" s="54" t="s">
        <v>110</v>
      </c>
      <c r="W10" s="54" t="s">
        <v>28</v>
      </c>
      <c r="X10" s="54" t="s">
        <v>28</v>
      </c>
      <c r="Y10" s="54" t="s">
        <v>28</v>
      </c>
      <c r="Z10" s="54" t="s">
        <v>28</v>
      </c>
      <c r="AA10" s="54"/>
      <c r="AB10" s="54" t="s">
        <v>28</v>
      </c>
      <c r="AC10" s="54" t="s">
        <v>28</v>
      </c>
      <c r="AD10" s="54" t="s">
        <v>28</v>
      </c>
      <c r="AE10" s="54" t="s">
        <v>28</v>
      </c>
      <c r="AF10" s="54" t="s">
        <v>28</v>
      </c>
      <c r="AG10" s="54" t="s">
        <v>28</v>
      </c>
      <c r="AH10" s="54" t="s">
        <v>28</v>
      </c>
      <c r="AI10" s="54" t="s">
        <v>28</v>
      </c>
      <c r="AJ10" s="54" t="s">
        <v>28</v>
      </c>
      <c r="AK10" s="54" t="s">
        <v>28</v>
      </c>
      <c r="AL10" s="54" t="s">
        <v>110</v>
      </c>
      <c r="AM10" s="54" t="s">
        <v>28</v>
      </c>
      <c r="AN10" s="54" t="s">
        <v>28</v>
      </c>
      <c r="AO10" s="54" t="s">
        <v>28</v>
      </c>
      <c r="AP10" s="54" t="s">
        <v>28</v>
      </c>
      <c r="AQ10" s="54" t="s">
        <v>28</v>
      </c>
      <c r="AR10" s="54" t="s">
        <v>28</v>
      </c>
      <c r="AS10" s="54" t="s">
        <v>28</v>
      </c>
      <c r="AT10" s="54" t="s">
        <v>28</v>
      </c>
      <c r="AU10" s="54" t="s">
        <v>28</v>
      </c>
      <c r="AV10" s="54" t="s">
        <v>110</v>
      </c>
      <c r="AW10" s="54" t="s">
        <v>28</v>
      </c>
      <c r="AX10" s="54" t="s">
        <v>110</v>
      </c>
      <c r="AY10" s="54" t="s">
        <v>110</v>
      </c>
      <c r="AZ10" s="54" t="s">
        <v>110</v>
      </c>
      <c r="BA10" s="54" t="s">
        <v>110</v>
      </c>
      <c r="BB10" s="54" t="s">
        <v>110</v>
      </c>
      <c r="BC10" s="54" t="s">
        <v>110</v>
      </c>
      <c r="BD10" s="54" t="s">
        <v>110</v>
      </c>
      <c r="BE10" s="54" t="s">
        <v>110</v>
      </c>
      <c r="BF10" s="54" t="s">
        <v>110</v>
      </c>
      <c r="BG10" s="54" t="s">
        <v>110</v>
      </c>
      <c r="BH10" s="54" t="s">
        <v>110</v>
      </c>
      <c r="BI10" s="54" t="s">
        <v>110</v>
      </c>
      <c r="BJ10" s="54" t="s">
        <v>110</v>
      </c>
      <c r="BK10" s="54" t="s">
        <v>110</v>
      </c>
      <c r="BL10" s="54" t="s">
        <v>110</v>
      </c>
      <c r="BM10" s="54" t="s">
        <v>110</v>
      </c>
      <c r="BN10" s="54" t="s">
        <v>110</v>
      </c>
      <c r="BO10" s="54" t="s">
        <v>110</v>
      </c>
      <c r="BP10" s="54" t="s">
        <v>110</v>
      </c>
      <c r="BQ10" s="54" t="s">
        <v>28</v>
      </c>
      <c r="BR10" s="54" t="s">
        <v>28</v>
      </c>
      <c r="BS10" s="54" t="s">
        <v>28</v>
      </c>
      <c r="BT10" s="54" t="s">
        <v>110</v>
      </c>
      <c r="BU10" s="54" t="s">
        <v>28</v>
      </c>
      <c r="BV10" s="54" t="s">
        <v>28</v>
      </c>
      <c r="BW10" s="54" t="s">
        <v>110</v>
      </c>
      <c r="BX10" s="54" t="s">
        <v>28</v>
      </c>
      <c r="BY10" s="54" t="s">
        <v>28</v>
      </c>
      <c r="BZ10" s="54" t="s">
        <v>28</v>
      </c>
      <c r="CA10" s="54" t="s">
        <v>28</v>
      </c>
      <c r="CB10" s="54" t="s">
        <v>28</v>
      </c>
      <c r="CC10" s="54" t="s">
        <v>28</v>
      </c>
      <c r="CD10" s="54" t="s">
        <v>28</v>
      </c>
      <c r="CE10" s="54" t="s">
        <v>28</v>
      </c>
      <c r="CF10" s="54" t="s">
        <v>110</v>
      </c>
      <c r="CG10" s="54" t="s">
        <v>28</v>
      </c>
      <c r="CH10" s="54" t="s">
        <v>28</v>
      </c>
      <c r="CI10" s="54" t="s">
        <v>28</v>
      </c>
      <c r="CJ10" s="54" t="s">
        <v>28</v>
      </c>
      <c r="CK10" s="54" t="s">
        <v>28</v>
      </c>
      <c r="CL10" s="54" t="s">
        <v>28</v>
      </c>
      <c r="CM10" s="54" t="s">
        <v>110</v>
      </c>
      <c r="CN10" s="54"/>
      <c r="CO10" s="54" t="s">
        <v>28</v>
      </c>
      <c r="CP10" s="54" t="s">
        <v>28</v>
      </c>
      <c r="CQ10" s="54" t="s">
        <v>28</v>
      </c>
      <c r="CR10" s="54" t="s">
        <v>28</v>
      </c>
      <c r="CS10" s="54" t="s">
        <v>110</v>
      </c>
      <c r="CT10" s="54" t="s">
        <v>110</v>
      </c>
      <c r="CU10" s="54" t="s">
        <v>28</v>
      </c>
      <c r="CV10" s="54" t="s">
        <v>110</v>
      </c>
      <c r="CW10" s="54" t="s">
        <v>28</v>
      </c>
      <c r="CX10" s="54" t="s">
        <v>28</v>
      </c>
      <c r="CY10" s="54" t="s">
        <v>28</v>
      </c>
      <c r="CZ10" s="54"/>
      <c r="DA10" s="54" t="s">
        <v>28</v>
      </c>
      <c r="DB10" s="54" t="s">
        <v>28</v>
      </c>
      <c r="DC10" s="54" t="s">
        <v>110</v>
      </c>
      <c r="DD10" s="54" t="s">
        <v>110</v>
      </c>
      <c r="DE10" s="54" t="s">
        <v>110</v>
      </c>
      <c r="DF10" s="54" t="s">
        <v>28</v>
      </c>
      <c r="DG10" s="54" t="s">
        <v>28</v>
      </c>
      <c r="DH10" s="54" t="s">
        <v>28</v>
      </c>
      <c r="DI10" s="54" t="s">
        <v>28</v>
      </c>
      <c r="DJ10" s="54" t="s">
        <v>28</v>
      </c>
      <c r="DK10" s="54" t="s">
        <v>110</v>
      </c>
      <c r="DL10" s="54" t="s">
        <v>110</v>
      </c>
      <c r="DM10" s="54" t="s">
        <v>110</v>
      </c>
      <c r="DN10" s="54" t="s">
        <v>28</v>
      </c>
      <c r="DO10" s="54" t="s">
        <v>28</v>
      </c>
      <c r="DP10" s="54" t="s">
        <v>28</v>
      </c>
      <c r="DQ10" s="54" t="s">
        <v>110</v>
      </c>
      <c r="DR10" s="54" t="s">
        <v>28</v>
      </c>
      <c r="DS10" s="54" t="s">
        <v>28</v>
      </c>
      <c r="DT10" s="54" t="s">
        <v>28</v>
      </c>
      <c r="DU10" s="54" t="s">
        <v>28</v>
      </c>
      <c r="DV10" s="54" t="s">
        <v>28</v>
      </c>
      <c r="DW10" s="54" t="s">
        <v>110</v>
      </c>
      <c r="DX10" s="54"/>
      <c r="DY10" s="54" t="s">
        <v>110</v>
      </c>
      <c r="DZ10" s="54"/>
      <c r="EA10" s="54"/>
      <c r="EB10" s="54"/>
      <c r="EC10" s="54"/>
      <c r="ED10" s="54"/>
      <c r="EE10" s="54" t="s">
        <v>28</v>
      </c>
      <c r="EF10" s="54" t="s">
        <v>28</v>
      </c>
      <c r="EG10" s="54" t="s">
        <v>28</v>
      </c>
      <c r="EH10" s="54" t="s">
        <v>28</v>
      </c>
      <c r="EI10" s="54" t="s">
        <v>28</v>
      </c>
      <c r="EJ10" s="54" t="s">
        <v>28</v>
      </c>
      <c r="EK10" s="54" t="s">
        <v>28</v>
      </c>
      <c r="EL10" s="54" t="s">
        <v>28</v>
      </c>
      <c r="EM10" s="54" t="s">
        <v>28</v>
      </c>
      <c r="EN10" s="54" t="s">
        <v>28</v>
      </c>
      <c r="EO10" s="54" t="s">
        <v>28</v>
      </c>
      <c r="EP10" s="54" t="s">
        <v>110</v>
      </c>
      <c r="EQ10" s="54" t="s">
        <v>28</v>
      </c>
      <c r="ER10" s="54" t="s">
        <v>28</v>
      </c>
      <c r="ES10" s="54" t="s">
        <v>28</v>
      </c>
      <c r="ET10" s="54" t="s">
        <v>28</v>
      </c>
      <c r="EU10" s="54" t="s">
        <v>28</v>
      </c>
      <c r="EV10" s="54" t="s">
        <v>28</v>
      </c>
      <c r="EW10" s="54" t="s">
        <v>28</v>
      </c>
      <c r="EX10" s="54" t="s">
        <v>28</v>
      </c>
      <c r="EY10" s="54" t="s">
        <v>28</v>
      </c>
      <c r="EZ10" s="54" t="s">
        <v>28</v>
      </c>
      <c r="FA10" s="54" t="s">
        <v>28</v>
      </c>
      <c r="FB10" s="54" t="s">
        <v>28</v>
      </c>
      <c r="FC10" s="54" t="s">
        <v>28</v>
      </c>
      <c r="FD10" s="54" t="s">
        <v>28</v>
      </c>
      <c r="FE10" s="54" t="s">
        <v>28</v>
      </c>
      <c r="FF10" s="54" t="s">
        <v>28</v>
      </c>
      <c r="FG10" s="54" t="s">
        <v>28</v>
      </c>
      <c r="FH10" s="54" t="s">
        <v>28</v>
      </c>
      <c r="FI10" s="54" t="s">
        <v>28</v>
      </c>
      <c r="FJ10" s="54" t="s">
        <v>28</v>
      </c>
      <c r="FK10" s="54" t="s">
        <v>28</v>
      </c>
      <c r="FL10" s="54" t="s">
        <v>28</v>
      </c>
      <c r="FM10" s="54" t="s">
        <v>28</v>
      </c>
      <c r="FN10" s="54" t="s">
        <v>28</v>
      </c>
      <c r="FO10" s="54" t="s">
        <v>28</v>
      </c>
      <c r="FP10" s="54" t="s">
        <v>28</v>
      </c>
      <c r="FQ10" s="54" t="s">
        <v>28</v>
      </c>
      <c r="FR10" s="54" t="s">
        <v>28</v>
      </c>
      <c r="FS10" s="54" t="s">
        <v>28</v>
      </c>
      <c r="FT10" s="54" t="s">
        <v>28</v>
      </c>
      <c r="FU10" s="54" t="s">
        <v>28</v>
      </c>
      <c r="FV10" s="54" t="s">
        <v>28</v>
      </c>
      <c r="FW10" s="54" t="s">
        <v>28</v>
      </c>
      <c r="FX10" s="54" t="s">
        <v>28</v>
      </c>
      <c r="FY10" s="54" t="s">
        <v>28</v>
      </c>
      <c r="FZ10" s="54" t="s">
        <v>28</v>
      </c>
      <c r="GA10" s="54" t="s">
        <v>28</v>
      </c>
      <c r="GB10" s="54" t="s">
        <v>28</v>
      </c>
      <c r="GC10" s="54" t="s">
        <v>28</v>
      </c>
      <c r="GD10" s="54" t="s">
        <v>28</v>
      </c>
      <c r="GE10" s="54" t="s">
        <v>28</v>
      </c>
      <c r="GF10" s="54" t="s">
        <v>28</v>
      </c>
      <c r="GG10" s="54" t="s">
        <v>28</v>
      </c>
      <c r="GH10" s="54" t="s">
        <v>28</v>
      </c>
      <c r="GI10" s="54" t="s">
        <v>28</v>
      </c>
      <c r="GJ10" s="54" t="s">
        <v>28</v>
      </c>
      <c r="GK10" s="54" t="s">
        <v>28</v>
      </c>
      <c r="GL10" s="54" t="s">
        <v>28</v>
      </c>
      <c r="GM10" s="54" t="s">
        <v>28</v>
      </c>
      <c r="GN10" s="54" t="s">
        <v>28</v>
      </c>
      <c r="GO10" s="54" t="s">
        <v>28</v>
      </c>
      <c r="GP10" s="54" t="s">
        <v>28</v>
      </c>
      <c r="GQ10" s="54" t="s">
        <v>28</v>
      </c>
      <c r="GR10" s="54" t="s">
        <v>28</v>
      </c>
      <c r="GS10" s="54" t="s">
        <v>28</v>
      </c>
      <c r="GT10" s="54" t="s">
        <v>28</v>
      </c>
      <c r="GU10" s="54" t="s">
        <v>28</v>
      </c>
      <c r="GV10" s="54" t="s">
        <v>28</v>
      </c>
    </row>
    <row r="11">
      <c r="A11" s="57" t="s">
        <v>678</v>
      </c>
      <c r="D11" s="53" t="str">
        <f t="array" ref="D11">IF('Wątki'!B12=$A$1,INDIRECT("Klasa"),IF('Wątki'!B12=$A$2,INDIRECT("Grupa"),IF('Wątki'!B12=$A$3,INDIRECT("Postać"),"Nie")))</f>
        <v>Nie</v>
      </c>
      <c r="E11" s="53"/>
      <c r="F11" s="54" t="s">
        <v>30</v>
      </c>
      <c r="G11" s="54" t="s">
        <v>30</v>
      </c>
      <c r="H11" s="54" t="s">
        <v>30</v>
      </c>
      <c r="I11" s="54"/>
      <c r="J11" s="54" t="s">
        <v>30</v>
      </c>
      <c r="K11" s="54" t="s">
        <v>30</v>
      </c>
      <c r="L11" s="54" t="s">
        <v>30</v>
      </c>
      <c r="M11" s="54" t="s">
        <v>30</v>
      </c>
      <c r="N11" s="54" t="s">
        <v>30</v>
      </c>
      <c r="O11" s="54" t="s">
        <v>30</v>
      </c>
      <c r="P11" s="54" t="s">
        <v>30</v>
      </c>
      <c r="Q11" s="54" t="s">
        <v>30</v>
      </c>
      <c r="R11" s="54" t="s">
        <v>30</v>
      </c>
      <c r="S11" s="54" t="s">
        <v>30</v>
      </c>
      <c r="T11" s="54" t="s">
        <v>30</v>
      </c>
      <c r="U11" s="54" t="s">
        <v>30</v>
      </c>
      <c r="V11" s="54" t="s">
        <v>112</v>
      </c>
      <c r="W11" s="54" t="s">
        <v>30</v>
      </c>
      <c r="X11" s="54" t="s">
        <v>30</v>
      </c>
      <c r="Y11" s="54" t="s">
        <v>30</v>
      </c>
      <c r="Z11" s="54" t="s">
        <v>30</v>
      </c>
      <c r="AA11" s="54"/>
      <c r="AB11" s="54" t="s">
        <v>30</v>
      </c>
      <c r="AC11" s="54" t="s">
        <v>30</v>
      </c>
      <c r="AD11" s="54" t="s">
        <v>30</v>
      </c>
      <c r="AE11" s="54" t="s">
        <v>30</v>
      </c>
      <c r="AF11" s="54" t="s">
        <v>30</v>
      </c>
      <c r="AG11" s="54" t="s">
        <v>30</v>
      </c>
      <c r="AH11" s="54" t="s">
        <v>30</v>
      </c>
      <c r="AI11" s="54" t="s">
        <v>30</v>
      </c>
      <c r="AJ11" s="54" t="s">
        <v>30</v>
      </c>
      <c r="AK11" s="54" t="s">
        <v>30</v>
      </c>
      <c r="AL11" s="54" t="s">
        <v>112</v>
      </c>
      <c r="AM11" s="54" t="s">
        <v>30</v>
      </c>
      <c r="AN11" s="54" t="s">
        <v>30</v>
      </c>
      <c r="AO11" s="54" t="s">
        <v>30</v>
      </c>
      <c r="AP11" s="54" t="s">
        <v>30</v>
      </c>
      <c r="AQ11" s="54" t="s">
        <v>30</v>
      </c>
      <c r="AR11" s="54" t="s">
        <v>30</v>
      </c>
      <c r="AS11" s="54" t="s">
        <v>30</v>
      </c>
      <c r="AT11" s="54" t="s">
        <v>30</v>
      </c>
      <c r="AU11" s="54" t="s">
        <v>30</v>
      </c>
      <c r="AV11" s="54" t="s">
        <v>112</v>
      </c>
      <c r="AW11" s="54" t="s">
        <v>30</v>
      </c>
      <c r="AX11" s="54" t="s">
        <v>112</v>
      </c>
      <c r="AY11" s="54" t="s">
        <v>112</v>
      </c>
      <c r="AZ11" s="54" t="s">
        <v>112</v>
      </c>
      <c r="BA11" s="54" t="s">
        <v>112</v>
      </c>
      <c r="BB11" s="54" t="s">
        <v>112</v>
      </c>
      <c r="BC11" s="54" t="s">
        <v>112</v>
      </c>
      <c r="BD11" s="54" t="s">
        <v>112</v>
      </c>
      <c r="BE11" s="54" t="s">
        <v>112</v>
      </c>
      <c r="BF11" s="54" t="s">
        <v>112</v>
      </c>
      <c r="BG11" s="54" t="s">
        <v>112</v>
      </c>
      <c r="BH11" s="54" t="s">
        <v>112</v>
      </c>
      <c r="BI11" s="54" t="s">
        <v>112</v>
      </c>
      <c r="BJ11" s="54" t="s">
        <v>112</v>
      </c>
      <c r="BK11" s="54" t="s">
        <v>112</v>
      </c>
      <c r="BL11" s="54" t="s">
        <v>112</v>
      </c>
      <c r="BM11" s="54" t="s">
        <v>112</v>
      </c>
      <c r="BN11" s="54" t="s">
        <v>112</v>
      </c>
      <c r="BO11" s="54" t="s">
        <v>112</v>
      </c>
      <c r="BP11" s="54" t="s">
        <v>112</v>
      </c>
      <c r="BQ11" s="54" t="s">
        <v>30</v>
      </c>
      <c r="BR11" s="54" t="s">
        <v>30</v>
      </c>
      <c r="BS11" s="54" t="s">
        <v>30</v>
      </c>
      <c r="BT11" s="54" t="s">
        <v>112</v>
      </c>
      <c r="BU11" s="54" t="s">
        <v>30</v>
      </c>
      <c r="BV11" s="54" t="s">
        <v>30</v>
      </c>
      <c r="BW11" s="54" t="s">
        <v>112</v>
      </c>
      <c r="BX11" s="54" t="s">
        <v>30</v>
      </c>
      <c r="BY11" s="54" t="s">
        <v>30</v>
      </c>
      <c r="BZ11" s="54" t="s">
        <v>30</v>
      </c>
      <c r="CA11" s="54" t="s">
        <v>30</v>
      </c>
      <c r="CB11" s="54" t="s">
        <v>30</v>
      </c>
      <c r="CC11" s="54" t="s">
        <v>30</v>
      </c>
      <c r="CD11" s="54" t="s">
        <v>30</v>
      </c>
      <c r="CE11" s="54" t="s">
        <v>30</v>
      </c>
      <c r="CF11" s="54" t="s">
        <v>112</v>
      </c>
      <c r="CG11" s="54" t="s">
        <v>30</v>
      </c>
      <c r="CH11" s="54" t="s">
        <v>30</v>
      </c>
      <c r="CI11" s="54" t="s">
        <v>30</v>
      </c>
      <c r="CJ11" s="54" t="s">
        <v>30</v>
      </c>
      <c r="CK11" s="54" t="s">
        <v>30</v>
      </c>
      <c r="CL11" s="54" t="s">
        <v>30</v>
      </c>
      <c r="CM11" s="54" t="s">
        <v>112</v>
      </c>
      <c r="CN11" s="54"/>
      <c r="CO11" s="54" t="s">
        <v>30</v>
      </c>
      <c r="CP11" s="54" t="s">
        <v>30</v>
      </c>
      <c r="CQ11" s="54" t="s">
        <v>30</v>
      </c>
      <c r="CR11" s="54" t="s">
        <v>30</v>
      </c>
      <c r="CS11" s="54" t="s">
        <v>112</v>
      </c>
      <c r="CT11" s="54" t="s">
        <v>112</v>
      </c>
      <c r="CU11" s="54" t="s">
        <v>30</v>
      </c>
      <c r="CV11" s="54" t="s">
        <v>112</v>
      </c>
      <c r="CW11" s="54" t="s">
        <v>30</v>
      </c>
      <c r="CX11" s="54" t="s">
        <v>30</v>
      </c>
      <c r="CY11" s="54" t="s">
        <v>30</v>
      </c>
      <c r="CZ11" s="54"/>
      <c r="DA11" s="54" t="s">
        <v>30</v>
      </c>
      <c r="DB11" s="54" t="s">
        <v>30</v>
      </c>
      <c r="DC11" s="54" t="s">
        <v>112</v>
      </c>
      <c r="DD11" s="54" t="s">
        <v>112</v>
      </c>
      <c r="DE11" s="54" t="s">
        <v>112</v>
      </c>
      <c r="DF11" s="54" t="s">
        <v>30</v>
      </c>
      <c r="DG11" s="54" t="s">
        <v>30</v>
      </c>
      <c r="DH11" s="54" t="s">
        <v>30</v>
      </c>
      <c r="DI11" s="54" t="s">
        <v>30</v>
      </c>
      <c r="DJ11" s="54" t="s">
        <v>30</v>
      </c>
      <c r="DK11" s="54" t="s">
        <v>112</v>
      </c>
      <c r="DL11" s="54" t="s">
        <v>112</v>
      </c>
      <c r="DM11" s="54" t="s">
        <v>112</v>
      </c>
      <c r="DN11" s="54" t="s">
        <v>30</v>
      </c>
      <c r="DO11" s="54" t="s">
        <v>30</v>
      </c>
      <c r="DP11" s="54" t="s">
        <v>30</v>
      </c>
      <c r="DQ11" s="54" t="s">
        <v>112</v>
      </c>
      <c r="DR11" s="54" t="s">
        <v>30</v>
      </c>
      <c r="DS11" s="54" t="s">
        <v>30</v>
      </c>
      <c r="DT11" s="54" t="s">
        <v>30</v>
      </c>
      <c r="DU11" s="54" t="s">
        <v>30</v>
      </c>
      <c r="DV11" s="54" t="s">
        <v>30</v>
      </c>
      <c r="DW11" s="54" t="s">
        <v>112</v>
      </c>
      <c r="DX11" s="54"/>
      <c r="DY11" s="54" t="s">
        <v>112</v>
      </c>
      <c r="DZ11" s="54"/>
      <c r="EA11" s="54"/>
      <c r="EB11" s="54"/>
      <c r="EC11" s="54"/>
      <c r="ED11" s="54"/>
      <c r="EE11" s="54" t="s">
        <v>30</v>
      </c>
      <c r="EF11" s="54" t="s">
        <v>30</v>
      </c>
      <c r="EG11" s="54" t="s">
        <v>30</v>
      </c>
      <c r="EH11" s="54" t="s">
        <v>30</v>
      </c>
      <c r="EI11" s="54" t="s">
        <v>30</v>
      </c>
      <c r="EJ11" s="54" t="s">
        <v>30</v>
      </c>
      <c r="EK11" s="54" t="s">
        <v>30</v>
      </c>
      <c r="EL11" s="54" t="s">
        <v>30</v>
      </c>
      <c r="EM11" s="54" t="s">
        <v>30</v>
      </c>
      <c r="EN11" s="54" t="s">
        <v>30</v>
      </c>
      <c r="EO11" s="54" t="s">
        <v>30</v>
      </c>
      <c r="EP11" s="54" t="s">
        <v>112</v>
      </c>
      <c r="EQ11" s="54" t="s">
        <v>30</v>
      </c>
      <c r="ER11" s="54" t="s">
        <v>30</v>
      </c>
      <c r="ES11" s="54" t="s">
        <v>30</v>
      </c>
      <c r="ET11" s="54" t="s">
        <v>30</v>
      </c>
      <c r="EU11" s="54" t="s">
        <v>30</v>
      </c>
      <c r="EV11" s="54" t="s">
        <v>30</v>
      </c>
      <c r="EW11" s="54" t="s">
        <v>30</v>
      </c>
      <c r="EX11" s="54" t="s">
        <v>30</v>
      </c>
      <c r="EY11" s="54" t="s">
        <v>30</v>
      </c>
      <c r="EZ11" s="54" t="s">
        <v>30</v>
      </c>
      <c r="FA11" s="54" t="s">
        <v>30</v>
      </c>
      <c r="FB11" s="54" t="s">
        <v>30</v>
      </c>
      <c r="FC11" s="54" t="s">
        <v>30</v>
      </c>
      <c r="FD11" s="54" t="s">
        <v>30</v>
      </c>
      <c r="FE11" s="54" t="s">
        <v>30</v>
      </c>
      <c r="FF11" s="54" t="s">
        <v>30</v>
      </c>
      <c r="FG11" s="54" t="s">
        <v>30</v>
      </c>
      <c r="FH11" s="54" t="s">
        <v>30</v>
      </c>
      <c r="FI11" s="54" t="s">
        <v>30</v>
      </c>
      <c r="FJ11" s="54" t="s">
        <v>30</v>
      </c>
      <c r="FK11" s="54" t="s">
        <v>30</v>
      </c>
      <c r="FL11" s="54" t="s">
        <v>30</v>
      </c>
      <c r="FM11" s="54" t="s">
        <v>30</v>
      </c>
      <c r="FN11" s="54" t="s">
        <v>30</v>
      </c>
      <c r="FO11" s="54" t="s">
        <v>30</v>
      </c>
      <c r="FP11" s="54" t="s">
        <v>30</v>
      </c>
      <c r="FQ11" s="54" t="s">
        <v>30</v>
      </c>
      <c r="FR11" s="54" t="s">
        <v>30</v>
      </c>
      <c r="FS11" s="54" t="s">
        <v>30</v>
      </c>
      <c r="FT11" s="54" t="s">
        <v>30</v>
      </c>
      <c r="FU11" s="54" t="s">
        <v>30</v>
      </c>
      <c r="FV11" s="54" t="s">
        <v>30</v>
      </c>
      <c r="FW11" s="54" t="s">
        <v>30</v>
      </c>
      <c r="FX11" s="54" t="s">
        <v>30</v>
      </c>
      <c r="FY11" s="54" t="s">
        <v>30</v>
      </c>
      <c r="FZ11" s="54" t="s">
        <v>30</v>
      </c>
      <c r="GA11" s="54" t="s">
        <v>30</v>
      </c>
      <c r="GB11" s="54" t="s">
        <v>30</v>
      </c>
      <c r="GC11" s="54" t="s">
        <v>30</v>
      </c>
      <c r="GD11" s="54" t="s">
        <v>30</v>
      </c>
      <c r="GE11" s="54" t="s">
        <v>30</v>
      </c>
      <c r="GF11" s="54" t="s">
        <v>30</v>
      </c>
      <c r="GG11" s="54" t="s">
        <v>30</v>
      </c>
      <c r="GH11" s="54" t="s">
        <v>30</v>
      </c>
      <c r="GI11" s="54" t="s">
        <v>30</v>
      </c>
      <c r="GJ11" s="54" t="s">
        <v>30</v>
      </c>
      <c r="GK11" s="54" t="s">
        <v>30</v>
      </c>
      <c r="GL11" s="54" t="s">
        <v>30</v>
      </c>
      <c r="GM11" s="54" t="s">
        <v>30</v>
      </c>
      <c r="GN11" s="54" t="s">
        <v>30</v>
      </c>
      <c r="GO11" s="54" t="s">
        <v>30</v>
      </c>
      <c r="GP11" s="54" t="s">
        <v>30</v>
      </c>
      <c r="GQ11" s="54" t="s">
        <v>30</v>
      </c>
      <c r="GR11" s="54" t="s">
        <v>30</v>
      </c>
      <c r="GS11" s="54" t="s">
        <v>30</v>
      </c>
      <c r="GT11" s="54" t="s">
        <v>30</v>
      </c>
      <c r="GU11" s="54" t="s">
        <v>30</v>
      </c>
      <c r="GV11" s="54" t="s">
        <v>30</v>
      </c>
    </row>
    <row r="12">
      <c r="A12" s="57" t="s">
        <v>679</v>
      </c>
      <c r="D12" s="53" t="str">
        <f t="array" ref="D12">IF('Wątki'!B13=$A$1,INDIRECT("Klasa"),IF('Wątki'!B13=$A$2,INDIRECT("Grupa"),IF('Wątki'!B13=$A$3,INDIRECT("Postać"),"Nie")))</f>
        <v>Nie</v>
      </c>
      <c r="E12" s="53"/>
      <c r="F12" s="54" t="s">
        <v>32</v>
      </c>
      <c r="G12" s="54" t="s">
        <v>32</v>
      </c>
      <c r="H12" s="54" t="s">
        <v>32</v>
      </c>
      <c r="I12" s="54"/>
      <c r="J12" s="54" t="s">
        <v>32</v>
      </c>
      <c r="K12" s="54" t="s">
        <v>32</v>
      </c>
      <c r="L12" s="54" t="s">
        <v>32</v>
      </c>
      <c r="M12" s="54" t="s">
        <v>32</v>
      </c>
      <c r="N12" s="54" t="s">
        <v>32</v>
      </c>
      <c r="O12" s="54" t="s">
        <v>32</v>
      </c>
      <c r="P12" s="54" t="s">
        <v>32</v>
      </c>
      <c r="Q12" s="54" t="s">
        <v>32</v>
      </c>
      <c r="R12" s="54" t="s">
        <v>32</v>
      </c>
      <c r="S12" s="54" t="s">
        <v>32</v>
      </c>
      <c r="T12" s="54" t="s">
        <v>32</v>
      </c>
      <c r="U12" s="54" t="s">
        <v>32</v>
      </c>
      <c r="V12" s="54" t="s">
        <v>114</v>
      </c>
      <c r="W12" s="54" t="s">
        <v>32</v>
      </c>
      <c r="X12" s="54" t="s">
        <v>32</v>
      </c>
      <c r="Y12" s="54" t="s">
        <v>32</v>
      </c>
      <c r="Z12" s="54" t="s">
        <v>32</v>
      </c>
      <c r="AA12" s="54"/>
      <c r="AB12" s="54" t="s">
        <v>32</v>
      </c>
      <c r="AC12" s="54" t="s">
        <v>32</v>
      </c>
      <c r="AD12" s="54" t="s">
        <v>32</v>
      </c>
      <c r="AE12" s="54" t="s">
        <v>32</v>
      </c>
      <c r="AF12" s="54" t="s">
        <v>32</v>
      </c>
      <c r="AG12" s="54" t="s">
        <v>32</v>
      </c>
      <c r="AH12" s="54" t="s">
        <v>32</v>
      </c>
      <c r="AI12" s="54" t="s">
        <v>32</v>
      </c>
      <c r="AJ12" s="54" t="s">
        <v>32</v>
      </c>
      <c r="AK12" s="54" t="s">
        <v>32</v>
      </c>
      <c r="AL12" s="54" t="s">
        <v>114</v>
      </c>
      <c r="AM12" s="54" t="s">
        <v>32</v>
      </c>
      <c r="AN12" s="54" t="s">
        <v>32</v>
      </c>
      <c r="AO12" s="54" t="s">
        <v>32</v>
      </c>
      <c r="AP12" s="54" t="s">
        <v>32</v>
      </c>
      <c r="AQ12" s="54" t="s">
        <v>32</v>
      </c>
      <c r="AR12" s="54" t="s">
        <v>32</v>
      </c>
      <c r="AS12" s="54" t="s">
        <v>32</v>
      </c>
      <c r="AT12" s="54" t="s">
        <v>32</v>
      </c>
      <c r="AU12" s="54" t="s">
        <v>32</v>
      </c>
      <c r="AV12" s="54" t="s">
        <v>114</v>
      </c>
      <c r="AW12" s="54" t="s">
        <v>32</v>
      </c>
      <c r="AX12" s="54" t="s">
        <v>114</v>
      </c>
      <c r="AY12" s="54" t="s">
        <v>114</v>
      </c>
      <c r="AZ12" s="54" t="s">
        <v>114</v>
      </c>
      <c r="BA12" s="54" t="s">
        <v>114</v>
      </c>
      <c r="BB12" s="54" t="s">
        <v>114</v>
      </c>
      <c r="BC12" s="54" t="s">
        <v>114</v>
      </c>
      <c r="BD12" s="54" t="s">
        <v>114</v>
      </c>
      <c r="BE12" s="54" t="s">
        <v>114</v>
      </c>
      <c r="BF12" s="54" t="s">
        <v>114</v>
      </c>
      <c r="BG12" s="54" t="s">
        <v>114</v>
      </c>
      <c r="BH12" s="54" t="s">
        <v>114</v>
      </c>
      <c r="BI12" s="54" t="s">
        <v>114</v>
      </c>
      <c r="BJ12" s="54" t="s">
        <v>114</v>
      </c>
      <c r="BK12" s="54" t="s">
        <v>114</v>
      </c>
      <c r="BL12" s="54" t="s">
        <v>114</v>
      </c>
      <c r="BM12" s="54" t="s">
        <v>114</v>
      </c>
      <c r="BN12" s="54" t="s">
        <v>114</v>
      </c>
      <c r="BO12" s="54" t="s">
        <v>114</v>
      </c>
      <c r="BP12" s="54" t="s">
        <v>114</v>
      </c>
      <c r="BQ12" s="54" t="s">
        <v>32</v>
      </c>
      <c r="BR12" s="54" t="s">
        <v>32</v>
      </c>
      <c r="BS12" s="54" t="s">
        <v>32</v>
      </c>
      <c r="BT12" s="54" t="s">
        <v>114</v>
      </c>
      <c r="BU12" s="54" t="s">
        <v>32</v>
      </c>
      <c r="BV12" s="54" t="s">
        <v>32</v>
      </c>
      <c r="BW12" s="54" t="s">
        <v>114</v>
      </c>
      <c r="BX12" s="54" t="s">
        <v>32</v>
      </c>
      <c r="BY12" s="54" t="s">
        <v>32</v>
      </c>
      <c r="BZ12" s="54" t="s">
        <v>32</v>
      </c>
      <c r="CA12" s="54" t="s">
        <v>32</v>
      </c>
      <c r="CB12" s="54" t="s">
        <v>32</v>
      </c>
      <c r="CC12" s="54" t="s">
        <v>32</v>
      </c>
      <c r="CD12" s="54" t="s">
        <v>32</v>
      </c>
      <c r="CE12" s="54" t="s">
        <v>32</v>
      </c>
      <c r="CF12" s="54" t="s">
        <v>114</v>
      </c>
      <c r="CG12" s="54" t="s">
        <v>32</v>
      </c>
      <c r="CH12" s="54" t="s">
        <v>32</v>
      </c>
      <c r="CI12" s="54" t="s">
        <v>32</v>
      </c>
      <c r="CJ12" s="54" t="s">
        <v>32</v>
      </c>
      <c r="CK12" s="54" t="s">
        <v>32</v>
      </c>
      <c r="CL12" s="54" t="s">
        <v>32</v>
      </c>
      <c r="CM12" s="54" t="s">
        <v>114</v>
      </c>
      <c r="CN12" s="54"/>
      <c r="CO12" s="54" t="s">
        <v>32</v>
      </c>
      <c r="CP12" s="54" t="s">
        <v>32</v>
      </c>
      <c r="CQ12" s="54" t="s">
        <v>32</v>
      </c>
      <c r="CR12" s="54" t="s">
        <v>32</v>
      </c>
      <c r="CS12" s="54" t="s">
        <v>114</v>
      </c>
      <c r="CT12" s="54" t="s">
        <v>114</v>
      </c>
      <c r="CU12" s="54" t="s">
        <v>32</v>
      </c>
      <c r="CV12" s="54" t="s">
        <v>114</v>
      </c>
      <c r="CW12" s="54" t="s">
        <v>32</v>
      </c>
      <c r="CX12" s="54" t="s">
        <v>32</v>
      </c>
      <c r="CY12" s="54" t="s">
        <v>32</v>
      </c>
      <c r="CZ12" s="54"/>
      <c r="DA12" s="54" t="s">
        <v>32</v>
      </c>
      <c r="DB12" s="54" t="s">
        <v>32</v>
      </c>
      <c r="DC12" s="54" t="s">
        <v>114</v>
      </c>
      <c r="DD12" s="54" t="s">
        <v>114</v>
      </c>
      <c r="DE12" s="54" t="s">
        <v>114</v>
      </c>
      <c r="DF12" s="54" t="s">
        <v>32</v>
      </c>
      <c r="DG12" s="54" t="s">
        <v>32</v>
      </c>
      <c r="DH12" s="54" t="s">
        <v>32</v>
      </c>
      <c r="DI12" s="54" t="s">
        <v>32</v>
      </c>
      <c r="DJ12" s="54" t="s">
        <v>32</v>
      </c>
      <c r="DK12" s="54" t="s">
        <v>114</v>
      </c>
      <c r="DL12" s="54" t="s">
        <v>114</v>
      </c>
      <c r="DM12" s="54" t="s">
        <v>114</v>
      </c>
      <c r="DN12" s="54" t="s">
        <v>32</v>
      </c>
      <c r="DO12" s="54" t="s">
        <v>32</v>
      </c>
      <c r="DP12" s="54" t="s">
        <v>32</v>
      </c>
      <c r="DQ12" s="54" t="s">
        <v>114</v>
      </c>
      <c r="DR12" s="54" t="s">
        <v>32</v>
      </c>
      <c r="DS12" s="54" t="s">
        <v>32</v>
      </c>
      <c r="DT12" s="54" t="s">
        <v>32</v>
      </c>
      <c r="DU12" s="54" t="s">
        <v>32</v>
      </c>
      <c r="DV12" s="54" t="s">
        <v>32</v>
      </c>
      <c r="DW12" s="54" t="s">
        <v>114</v>
      </c>
      <c r="DX12" s="54"/>
      <c r="DY12" s="54" t="s">
        <v>114</v>
      </c>
      <c r="DZ12" s="54"/>
      <c r="EA12" s="54"/>
      <c r="EB12" s="54"/>
      <c r="EC12" s="54"/>
      <c r="ED12" s="54"/>
      <c r="EE12" s="54" t="s">
        <v>32</v>
      </c>
      <c r="EF12" s="54" t="s">
        <v>32</v>
      </c>
      <c r="EG12" s="54" t="s">
        <v>32</v>
      </c>
      <c r="EH12" s="54" t="s">
        <v>32</v>
      </c>
      <c r="EI12" s="54" t="s">
        <v>32</v>
      </c>
      <c r="EJ12" s="54" t="s">
        <v>32</v>
      </c>
      <c r="EK12" s="54" t="s">
        <v>32</v>
      </c>
      <c r="EL12" s="54" t="s">
        <v>32</v>
      </c>
      <c r="EM12" s="54" t="s">
        <v>32</v>
      </c>
      <c r="EN12" s="54" t="s">
        <v>32</v>
      </c>
      <c r="EO12" s="54" t="s">
        <v>32</v>
      </c>
      <c r="EP12" s="54" t="s">
        <v>114</v>
      </c>
      <c r="EQ12" s="54" t="s">
        <v>32</v>
      </c>
      <c r="ER12" s="54" t="s">
        <v>32</v>
      </c>
      <c r="ES12" s="54" t="s">
        <v>32</v>
      </c>
      <c r="ET12" s="54" t="s">
        <v>32</v>
      </c>
      <c r="EU12" s="54" t="s">
        <v>32</v>
      </c>
      <c r="EV12" s="54" t="s">
        <v>32</v>
      </c>
      <c r="EW12" s="54" t="s">
        <v>32</v>
      </c>
      <c r="EX12" s="54" t="s">
        <v>32</v>
      </c>
      <c r="EY12" s="54" t="s">
        <v>32</v>
      </c>
      <c r="EZ12" s="54" t="s">
        <v>32</v>
      </c>
      <c r="FA12" s="54" t="s">
        <v>32</v>
      </c>
      <c r="FB12" s="54" t="s">
        <v>32</v>
      </c>
      <c r="FC12" s="54" t="s">
        <v>32</v>
      </c>
      <c r="FD12" s="54" t="s">
        <v>32</v>
      </c>
      <c r="FE12" s="54" t="s">
        <v>32</v>
      </c>
      <c r="FF12" s="54" t="s">
        <v>32</v>
      </c>
      <c r="FG12" s="54" t="s">
        <v>32</v>
      </c>
      <c r="FH12" s="54" t="s">
        <v>32</v>
      </c>
      <c r="FI12" s="54" t="s">
        <v>32</v>
      </c>
      <c r="FJ12" s="54" t="s">
        <v>32</v>
      </c>
      <c r="FK12" s="54" t="s">
        <v>32</v>
      </c>
      <c r="FL12" s="54" t="s">
        <v>32</v>
      </c>
      <c r="FM12" s="54" t="s">
        <v>32</v>
      </c>
      <c r="FN12" s="54" t="s">
        <v>32</v>
      </c>
      <c r="FO12" s="54" t="s">
        <v>32</v>
      </c>
      <c r="FP12" s="54" t="s">
        <v>32</v>
      </c>
      <c r="FQ12" s="54" t="s">
        <v>32</v>
      </c>
      <c r="FR12" s="54" t="s">
        <v>32</v>
      </c>
      <c r="FS12" s="54" t="s">
        <v>32</v>
      </c>
      <c r="FT12" s="54" t="s">
        <v>32</v>
      </c>
      <c r="FU12" s="54" t="s">
        <v>32</v>
      </c>
      <c r="FV12" s="54" t="s">
        <v>32</v>
      </c>
      <c r="FW12" s="54" t="s">
        <v>32</v>
      </c>
      <c r="FX12" s="54" t="s">
        <v>32</v>
      </c>
      <c r="FY12" s="54" t="s">
        <v>32</v>
      </c>
      <c r="FZ12" s="54" t="s">
        <v>32</v>
      </c>
      <c r="GA12" s="54" t="s">
        <v>32</v>
      </c>
      <c r="GB12" s="54" t="s">
        <v>32</v>
      </c>
      <c r="GC12" s="54" t="s">
        <v>32</v>
      </c>
      <c r="GD12" s="54" t="s">
        <v>32</v>
      </c>
      <c r="GE12" s="54" t="s">
        <v>32</v>
      </c>
      <c r="GF12" s="54" t="s">
        <v>32</v>
      </c>
      <c r="GG12" s="54" t="s">
        <v>32</v>
      </c>
      <c r="GH12" s="54" t="s">
        <v>32</v>
      </c>
      <c r="GI12" s="54" t="s">
        <v>32</v>
      </c>
      <c r="GJ12" s="54" t="s">
        <v>32</v>
      </c>
      <c r="GK12" s="54" t="s">
        <v>32</v>
      </c>
      <c r="GL12" s="54" t="s">
        <v>32</v>
      </c>
      <c r="GM12" s="54" t="s">
        <v>32</v>
      </c>
      <c r="GN12" s="54" t="s">
        <v>32</v>
      </c>
      <c r="GO12" s="54" t="s">
        <v>32</v>
      </c>
      <c r="GP12" s="54" t="s">
        <v>32</v>
      </c>
      <c r="GQ12" s="54" t="s">
        <v>32</v>
      </c>
      <c r="GR12" s="54" t="s">
        <v>32</v>
      </c>
      <c r="GS12" s="54" t="s">
        <v>32</v>
      </c>
      <c r="GT12" s="54" t="s">
        <v>32</v>
      </c>
      <c r="GU12" s="54" t="s">
        <v>32</v>
      </c>
      <c r="GV12" s="54" t="s">
        <v>32</v>
      </c>
    </row>
    <row r="13">
      <c r="A13" s="57" t="s">
        <v>680</v>
      </c>
      <c r="D13" s="53" t="str">
        <f t="array" ref="D13">IF('Wątki'!B14=$A$1,INDIRECT("Klasa"),IF('Wątki'!B14=$A$2,INDIRECT("Grupa"),IF('Wątki'!B14=$A$3,INDIRECT("Postać"),"Nie")))</f>
        <v>Nie</v>
      </c>
      <c r="E13" s="53"/>
      <c r="F13" s="54" t="s">
        <v>33</v>
      </c>
      <c r="G13" s="54" t="s">
        <v>33</v>
      </c>
      <c r="H13" s="54" t="s">
        <v>33</v>
      </c>
      <c r="I13" s="54"/>
      <c r="J13" s="54" t="s">
        <v>33</v>
      </c>
      <c r="K13" s="54" t="s">
        <v>33</v>
      </c>
      <c r="L13" s="54" t="s">
        <v>33</v>
      </c>
      <c r="M13" s="54" t="s">
        <v>33</v>
      </c>
      <c r="N13" s="54" t="s">
        <v>33</v>
      </c>
      <c r="O13" s="54" t="s">
        <v>33</v>
      </c>
      <c r="P13" s="54" t="s">
        <v>33</v>
      </c>
      <c r="Q13" s="54" t="s">
        <v>33</v>
      </c>
      <c r="R13" s="54" t="s">
        <v>33</v>
      </c>
      <c r="S13" s="54" t="s">
        <v>33</v>
      </c>
      <c r="T13" s="54" t="s">
        <v>33</v>
      </c>
      <c r="U13" s="54" t="s">
        <v>33</v>
      </c>
      <c r="V13" s="54" t="s">
        <v>116</v>
      </c>
      <c r="W13" s="54" t="s">
        <v>33</v>
      </c>
      <c r="X13" s="54" t="s">
        <v>33</v>
      </c>
      <c r="Y13" s="54" t="s">
        <v>33</v>
      </c>
      <c r="Z13" s="54" t="s">
        <v>33</v>
      </c>
      <c r="AA13" s="54"/>
      <c r="AB13" s="54" t="s">
        <v>33</v>
      </c>
      <c r="AC13" s="54" t="s">
        <v>33</v>
      </c>
      <c r="AD13" s="54" t="s">
        <v>33</v>
      </c>
      <c r="AE13" s="54" t="s">
        <v>33</v>
      </c>
      <c r="AF13" s="54" t="s">
        <v>33</v>
      </c>
      <c r="AG13" s="54" t="s">
        <v>33</v>
      </c>
      <c r="AH13" s="54" t="s">
        <v>33</v>
      </c>
      <c r="AI13" s="54" t="s">
        <v>33</v>
      </c>
      <c r="AJ13" s="54" t="s">
        <v>33</v>
      </c>
      <c r="AK13" s="54" t="s">
        <v>33</v>
      </c>
      <c r="AL13" s="54" t="s">
        <v>116</v>
      </c>
      <c r="AM13" s="54" t="s">
        <v>33</v>
      </c>
      <c r="AN13" s="54" t="s">
        <v>33</v>
      </c>
      <c r="AO13" s="54" t="s">
        <v>33</v>
      </c>
      <c r="AP13" s="54" t="s">
        <v>33</v>
      </c>
      <c r="AQ13" s="54" t="s">
        <v>33</v>
      </c>
      <c r="AR13" s="54" t="s">
        <v>33</v>
      </c>
      <c r="AS13" s="54" t="s">
        <v>33</v>
      </c>
      <c r="AT13" s="54" t="s">
        <v>33</v>
      </c>
      <c r="AU13" s="54" t="s">
        <v>33</v>
      </c>
      <c r="AV13" s="54" t="s">
        <v>116</v>
      </c>
      <c r="AW13" s="54" t="s">
        <v>33</v>
      </c>
      <c r="AX13" s="54" t="s">
        <v>116</v>
      </c>
      <c r="AY13" s="54" t="s">
        <v>116</v>
      </c>
      <c r="AZ13" s="54" t="s">
        <v>116</v>
      </c>
      <c r="BA13" s="54" t="s">
        <v>116</v>
      </c>
      <c r="BB13" s="54" t="s">
        <v>116</v>
      </c>
      <c r="BC13" s="54" t="s">
        <v>116</v>
      </c>
      <c r="BD13" s="54" t="s">
        <v>116</v>
      </c>
      <c r="BE13" s="54" t="s">
        <v>116</v>
      </c>
      <c r="BF13" s="54" t="s">
        <v>116</v>
      </c>
      <c r="BG13" s="54" t="s">
        <v>116</v>
      </c>
      <c r="BH13" s="54" t="s">
        <v>116</v>
      </c>
      <c r="BI13" s="54" t="s">
        <v>116</v>
      </c>
      <c r="BJ13" s="54" t="s">
        <v>116</v>
      </c>
      <c r="BK13" s="54" t="s">
        <v>116</v>
      </c>
      <c r="BL13" s="54" t="s">
        <v>116</v>
      </c>
      <c r="BM13" s="54" t="s">
        <v>116</v>
      </c>
      <c r="BN13" s="54" t="s">
        <v>116</v>
      </c>
      <c r="BO13" s="54" t="s">
        <v>116</v>
      </c>
      <c r="BP13" s="54" t="s">
        <v>116</v>
      </c>
      <c r="BQ13" s="54" t="s">
        <v>33</v>
      </c>
      <c r="BR13" s="54" t="s">
        <v>33</v>
      </c>
      <c r="BS13" s="54" t="s">
        <v>33</v>
      </c>
      <c r="BT13" s="54" t="s">
        <v>116</v>
      </c>
      <c r="BU13" s="54" t="s">
        <v>33</v>
      </c>
      <c r="BV13" s="54" t="s">
        <v>33</v>
      </c>
      <c r="BW13" s="54" t="s">
        <v>116</v>
      </c>
      <c r="BX13" s="54" t="s">
        <v>33</v>
      </c>
      <c r="BY13" s="54" t="s">
        <v>33</v>
      </c>
      <c r="BZ13" s="54" t="s">
        <v>33</v>
      </c>
      <c r="CA13" s="54" t="s">
        <v>33</v>
      </c>
      <c r="CB13" s="54" t="s">
        <v>33</v>
      </c>
      <c r="CC13" s="54" t="s">
        <v>33</v>
      </c>
      <c r="CD13" s="54" t="s">
        <v>33</v>
      </c>
      <c r="CE13" s="54" t="s">
        <v>33</v>
      </c>
      <c r="CF13" s="54" t="s">
        <v>116</v>
      </c>
      <c r="CG13" s="54" t="s">
        <v>33</v>
      </c>
      <c r="CH13" s="54" t="s">
        <v>33</v>
      </c>
      <c r="CI13" s="54" t="s">
        <v>33</v>
      </c>
      <c r="CJ13" s="54" t="s">
        <v>33</v>
      </c>
      <c r="CK13" s="54" t="s">
        <v>33</v>
      </c>
      <c r="CL13" s="54" t="s">
        <v>33</v>
      </c>
      <c r="CM13" s="54" t="s">
        <v>116</v>
      </c>
      <c r="CN13" s="54"/>
      <c r="CO13" s="54" t="s">
        <v>33</v>
      </c>
      <c r="CP13" s="54" t="s">
        <v>33</v>
      </c>
      <c r="CQ13" s="54" t="s">
        <v>33</v>
      </c>
      <c r="CR13" s="54" t="s">
        <v>33</v>
      </c>
      <c r="CS13" s="54" t="s">
        <v>116</v>
      </c>
      <c r="CT13" s="54" t="s">
        <v>116</v>
      </c>
      <c r="CU13" s="54" t="s">
        <v>33</v>
      </c>
      <c r="CV13" s="54" t="s">
        <v>116</v>
      </c>
      <c r="CW13" s="54" t="s">
        <v>33</v>
      </c>
      <c r="CX13" s="54" t="s">
        <v>33</v>
      </c>
      <c r="CY13" s="54" t="s">
        <v>33</v>
      </c>
      <c r="CZ13" s="54"/>
      <c r="DA13" s="54" t="s">
        <v>33</v>
      </c>
      <c r="DB13" s="54" t="s">
        <v>33</v>
      </c>
      <c r="DC13" s="54" t="s">
        <v>116</v>
      </c>
      <c r="DD13" s="54" t="s">
        <v>116</v>
      </c>
      <c r="DE13" s="54" t="s">
        <v>116</v>
      </c>
      <c r="DF13" s="54" t="s">
        <v>33</v>
      </c>
      <c r="DG13" s="54" t="s">
        <v>33</v>
      </c>
      <c r="DH13" s="54" t="s">
        <v>33</v>
      </c>
      <c r="DI13" s="54" t="s">
        <v>33</v>
      </c>
      <c r="DJ13" s="54" t="s">
        <v>33</v>
      </c>
      <c r="DK13" s="54" t="s">
        <v>116</v>
      </c>
      <c r="DL13" s="54" t="s">
        <v>116</v>
      </c>
      <c r="DM13" s="54" t="s">
        <v>116</v>
      </c>
      <c r="DN13" s="54" t="s">
        <v>33</v>
      </c>
      <c r="DO13" s="54" t="s">
        <v>33</v>
      </c>
      <c r="DP13" s="54" t="s">
        <v>33</v>
      </c>
      <c r="DQ13" s="54" t="s">
        <v>116</v>
      </c>
      <c r="DR13" s="54" t="s">
        <v>33</v>
      </c>
      <c r="DS13" s="54" t="s">
        <v>33</v>
      </c>
      <c r="DT13" s="54" t="s">
        <v>33</v>
      </c>
      <c r="DU13" s="54" t="s">
        <v>33</v>
      </c>
      <c r="DV13" s="54" t="s">
        <v>33</v>
      </c>
      <c r="DW13" s="54" t="s">
        <v>116</v>
      </c>
      <c r="DX13" s="54"/>
      <c r="DY13" s="54" t="s">
        <v>116</v>
      </c>
      <c r="DZ13" s="54"/>
      <c r="EA13" s="54"/>
      <c r="EB13" s="54"/>
      <c r="EC13" s="54"/>
      <c r="ED13" s="54"/>
      <c r="EE13" s="54" t="s">
        <v>33</v>
      </c>
      <c r="EF13" s="54" t="s">
        <v>33</v>
      </c>
      <c r="EG13" s="54" t="s">
        <v>33</v>
      </c>
      <c r="EH13" s="54" t="s">
        <v>33</v>
      </c>
      <c r="EI13" s="54" t="s">
        <v>33</v>
      </c>
      <c r="EJ13" s="54" t="s">
        <v>33</v>
      </c>
      <c r="EK13" s="54" t="s">
        <v>33</v>
      </c>
      <c r="EL13" s="54" t="s">
        <v>33</v>
      </c>
      <c r="EM13" s="54" t="s">
        <v>33</v>
      </c>
      <c r="EN13" s="54" t="s">
        <v>33</v>
      </c>
      <c r="EO13" s="54" t="s">
        <v>33</v>
      </c>
      <c r="EP13" s="54" t="s">
        <v>116</v>
      </c>
      <c r="EQ13" s="54" t="s">
        <v>33</v>
      </c>
      <c r="ER13" s="54" t="s">
        <v>33</v>
      </c>
      <c r="ES13" s="54" t="s">
        <v>33</v>
      </c>
      <c r="ET13" s="54" t="s">
        <v>33</v>
      </c>
      <c r="EU13" s="54" t="s">
        <v>33</v>
      </c>
      <c r="EV13" s="54" t="s">
        <v>33</v>
      </c>
      <c r="EW13" s="54" t="s">
        <v>33</v>
      </c>
      <c r="EX13" s="54" t="s">
        <v>33</v>
      </c>
      <c r="EY13" s="54" t="s">
        <v>33</v>
      </c>
      <c r="EZ13" s="54" t="s">
        <v>33</v>
      </c>
      <c r="FA13" s="54" t="s">
        <v>33</v>
      </c>
      <c r="FB13" s="54" t="s">
        <v>33</v>
      </c>
      <c r="FC13" s="54" t="s">
        <v>33</v>
      </c>
      <c r="FD13" s="54" t="s">
        <v>33</v>
      </c>
      <c r="FE13" s="54" t="s">
        <v>33</v>
      </c>
      <c r="FF13" s="54" t="s">
        <v>33</v>
      </c>
      <c r="FG13" s="54" t="s">
        <v>33</v>
      </c>
      <c r="FH13" s="54" t="s">
        <v>33</v>
      </c>
      <c r="FI13" s="54" t="s">
        <v>33</v>
      </c>
      <c r="FJ13" s="54" t="s">
        <v>33</v>
      </c>
      <c r="FK13" s="54" t="s">
        <v>33</v>
      </c>
      <c r="FL13" s="54" t="s">
        <v>33</v>
      </c>
      <c r="FM13" s="54" t="s">
        <v>33</v>
      </c>
      <c r="FN13" s="54" t="s">
        <v>33</v>
      </c>
      <c r="FO13" s="54" t="s">
        <v>33</v>
      </c>
      <c r="FP13" s="54" t="s">
        <v>33</v>
      </c>
      <c r="FQ13" s="54" t="s">
        <v>33</v>
      </c>
      <c r="FR13" s="54" t="s">
        <v>33</v>
      </c>
      <c r="FS13" s="54" t="s">
        <v>33</v>
      </c>
      <c r="FT13" s="54" t="s">
        <v>33</v>
      </c>
      <c r="FU13" s="54" t="s">
        <v>33</v>
      </c>
      <c r="FV13" s="54" t="s">
        <v>33</v>
      </c>
      <c r="FW13" s="54" t="s">
        <v>33</v>
      </c>
      <c r="FX13" s="54" t="s">
        <v>33</v>
      </c>
      <c r="FY13" s="54" t="s">
        <v>33</v>
      </c>
      <c r="FZ13" s="54" t="s">
        <v>33</v>
      </c>
      <c r="GA13" s="54" t="s">
        <v>33</v>
      </c>
      <c r="GB13" s="54" t="s">
        <v>33</v>
      </c>
      <c r="GC13" s="54" t="s">
        <v>33</v>
      </c>
      <c r="GD13" s="54" t="s">
        <v>33</v>
      </c>
      <c r="GE13" s="54" t="s">
        <v>33</v>
      </c>
      <c r="GF13" s="54" t="s">
        <v>33</v>
      </c>
      <c r="GG13" s="54" t="s">
        <v>33</v>
      </c>
      <c r="GH13" s="54" t="s">
        <v>33</v>
      </c>
      <c r="GI13" s="54" t="s">
        <v>33</v>
      </c>
      <c r="GJ13" s="54" t="s">
        <v>33</v>
      </c>
      <c r="GK13" s="54" t="s">
        <v>33</v>
      </c>
      <c r="GL13" s="54" t="s">
        <v>33</v>
      </c>
      <c r="GM13" s="54" t="s">
        <v>33</v>
      </c>
      <c r="GN13" s="54" t="s">
        <v>33</v>
      </c>
      <c r="GO13" s="54" t="s">
        <v>33</v>
      </c>
      <c r="GP13" s="54" t="s">
        <v>33</v>
      </c>
      <c r="GQ13" s="54" t="s">
        <v>33</v>
      </c>
      <c r="GR13" s="54" t="s">
        <v>33</v>
      </c>
      <c r="GS13" s="54" t="s">
        <v>33</v>
      </c>
      <c r="GT13" s="54" t="s">
        <v>33</v>
      </c>
      <c r="GU13" s="54" t="s">
        <v>33</v>
      </c>
      <c r="GV13" s="54" t="s">
        <v>33</v>
      </c>
    </row>
    <row r="14">
      <c r="A14" s="57" t="s">
        <v>681</v>
      </c>
      <c r="D14" s="53" t="str">
        <f t="array" ref="D14">IF('Wątki'!B15=$A$1,INDIRECT("Klasa"),IF('Wątki'!B15=$A$2,INDIRECT("Grupa"),IF('Wątki'!B15=$A$3,INDIRECT("Postać"),"Nie")))</f>
        <v>Nie</v>
      </c>
      <c r="E14" s="53"/>
      <c r="F14" s="54" t="s">
        <v>34</v>
      </c>
      <c r="G14" s="54" t="s">
        <v>34</v>
      </c>
      <c r="H14" s="54" t="s">
        <v>34</v>
      </c>
      <c r="I14" s="54"/>
      <c r="J14" s="54" t="s">
        <v>34</v>
      </c>
      <c r="K14" s="54" t="s">
        <v>34</v>
      </c>
      <c r="L14" s="54" t="s">
        <v>34</v>
      </c>
      <c r="M14" s="54" t="s">
        <v>34</v>
      </c>
      <c r="N14" s="54" t="s">
        <v>34</v>
      </c>
      <c r="O14" s="54" t="s">
        <v>34</v>
      </c>
      <c r="P14" s="54" t="s">
        <v>34</v>
      </c>
      <c r="Q14" s="54" t="s">
        <v>34</v>
      </c>
      <c r="R14" s="54" t="s">
        <v>34</v>
      </c>
      <c r="S14" s="54" t="s">
        <v>34</v>
      </c>
      <c r="T14" s="54" t="s">
        <v>34</v>
      </c>
      <c r="U14" s="54" t="s">
        <v>34</v>
      </c>
      <c r="V14" s="54" t="s">
        <v>118</v>
      </c>
      <c r="W14" s="54" t="s">
        <v>34</v>
      </c>
      <c r="X14" s="54" t="s">
        <v>34</v>
      </c>
      <c r="Y14" s="54" t="s">
        <v>34</v>
      </c>
      <c r="Z14" s="54" t="s">
        <v>34</v>
      </c>
      <c r="AA14" s="54"/>
      <c r="AB14" s="54" t="s">
        <v>34</v>
      </c>
      <c r="AC14" s="54" t="s">
        <v>34</v>
      </c>
      <c r="AD14" s="54" t="s">
        <v>34</v>
      </c>
      <c r="AE14" s="54" t="s">
        <v>34</v>
      </c>
      <c r="AF14" s="54" t="s">
        <v>34</v>
      </c>
      <c r="AG14" s="54" t="s">
        <v>34</v>
      </c>
      <c r="AH14" s="54" t="s">
        <v>34</v>
      </c>
      <c r="AI14" s="54" t="s">
        <v>34</v>
      </c>
      <c r="AJ14" s="54" t="s">
        <v>34</v>
      </c>
      <c r="AK14" s="54" t="s">
        <v>34</v>
      </c>
      <c r="AL14" s="54" t="s">
        <v>118</v>
      </c>
      <c r="AM14" s="54" t="s">
        <v>34</v>
      </c>
      <c r="AN14" s="54" t="s">
        <v>34</v>
      </c>
      <c r="AO14" s="54" t="s">
        <v>34</v>
      </c>
      <c r="AP14" s="54" t="s">
        <v>34</v>
      </c>
      <c r="AQ14" s="54" t="s">
        <v>34</v>
      </c>
      <c r="AR14" s="54" t="s">
        <v>34</v>
      </c>
      <c r="AS14" s="54" t="s">
        <v>34</v>
      </c>
      <c r="AT14" s="54" t="s">
        <v>34</v>
      </c>
      <c r="AU14" s="54" t="s">
        <v>34</v>
      </c>
      <c r="AV14" s="54" t="s">
        <v>118</v>
      </c>
      <c r="AW14" s="54" t="s">
        <v>34</v>
      </c>
      <c r="AX14" s="54" t="s">
        <v>118</v>
      </c>
      <c r="AY14" s="54" t="s">
        <v>118</v>
      </c>
      <c r="AZ14" s="54" t="s">
        <v>118</v>
      </c>
      <c r="BA14" s="54" t="s">
        <v>118</v>
      </c>
      <c r="BB14" s="54" t="s">
        <v>118</v>
      </c>
      <c r="BC14" s="54" t="s">
        <v>118</v>
      </c>
      <c r="BD14" s="54" t="s">
        <v>118</v>
      </c>
      <c r="BE14" s="54" t="s">
        <v>118</v>
      </c>
      <c r="BF14" s="54" t="s">
        <v>118</v>
      </c>
      <c r="BG14" s="54" t="s">
        <v>118</v>
      </c>
      <c r="BH14" s="54" t="s">
        <v>118</v>
      </c>
      <c r="BI14" s="54" t="s">
        <v>118</v>
      </c>
      <c r="BJ14" s="54" t="s">
        <v>118</v>
      </c>
      <c r="BK14" s="54" t="s">
        <v>118</v>
      </c>
      <c r="BL14" s="54" t="s">
        <v>118</v>
      </c>
      <c r="BM14" s="54" t="s">
        <v>118</v>
      </c>
      <c r="BN14" s="54" t="s">
        <v>118</v>
      </c>
      <c r="BO14" s="54" t="s">
        <v>118</v>
      </c>
      <c r="BP14" s="54" t="s">
        <v>118</v>
      </c>
      <c r="BQ14" s="54" t="s">
        <v>34</v>
      </c>
      <c r="BR14" s="54" t="s">
        <v>34</v>
      </c>
      <c r="BS14" s="54" t="s">
        <v>34</v>
      </c>
      <c r="BT14" s="54" t="s">
        <v>118</v>
      </c>
      <c r="BU14" s="54" t="s">
        <v>34</v>
      </c>
      <c r="BV14" s="54" t="s">
        <v>34</v>
      </c>
      <c r="BW14" s="54" t="s">
        <v>118</v>
      </c>
      <c r="BX14" s="54" t="s">
        <v>34</v>
      </c>
      <c r="BY14" s="54" t="s">
        <v>34</v>
      </c>
      <c r="BZ14" s="54" t="s">
        <v>34</v>
      </c>
      <c r="CA14" s="54" t="s">
        <v>34</v>
      </c>
      <c r="CB14" s="54" t="s">
        <v>34</v>
      </c>
      <c r="CC14" s="54" t="s">
        <v>34</v>
      </c>
      <c r="CD14" s="54" t="s">
        <v>34</v>
      </c>
      <c r="CE14" s="54" t="s">
        <v>34</v>
      </c>
      <c r="CF14" s="54" t="s">
        <v>118</v>
      </c>
      <c r="CG14" s="54" t="s">
        <v>34</v>
      </c>
      <c r="CH14" s="54" t="s">
        <v>34</v>
      </c>
      <c r="CI14" s="54" t="s">
        <v>34</v>
      </c>
      <c r="CJ14" s="54" t="s">
        <v>34</v>
      </c>
      <c r="CK14" s="54" t="s">
        <v>34</v>
      </c>
      <c r="CL14" s="54" t="s">
        <v>34</v>
      </c>
      <c r="CM14" s="54" t="s">
        <v>118</v>
      </c>
      <c r="CN14" s="54"/>
      <c r="CO14" s="54" t="s">
        <v>34</v>
      </c>
      <c r="CP14" s="54" t="s">
        <v>34</v>
      </c>
      <c r="CQ14" s="54" t="s">
        <v>34</v>
      </c>
      <c r="CR14" s="54" t="s">
        <v>34</v>
      </c>
      <c r="CS14" s="54" t="s">
        <v>118</v>
      </c>
      <c r="CT14" s="54" t="s">
        <v>118</v>
      </c>
      <c r="CU14" s="54" t="s">
        <v>34</v>
      </c>
      <c r="CV14" s="54" t="s">
        <v>118</v>
      </c>
      <c r="CW14" s="54" t="s">
        <v>34</v>
      </c>
      <c r="CX14" s="54" t="s">
        <v>34</v>
      </c>
      <c r="CY14" s="54" t="s">
        <v>34</v>
      </c>
      <c r="CZ14" s="54"/>
      <c r="DA14" s="54" t="s">
        <v>34</v>
      </c>
      <c r="DB14" s="54" t="s">
        <v>34</v>
      </c>
      <c r="DC14" s="54" t="s">
        <v>118</v>
      </c>
      <c r="DD14" s="54" t="s">
        <v>118</v>
      </c>
      <c r="DE14" s="54" t="s">
        <v>118</v>
      </c>
      <c r="DF14" s="54" t="s">
        <v>34</v>
      </c>
      <c r="DG14" s="54" t="s">
        <v>34</v>
      </c>
      <c r="DH14" s="54" t="s">
        <v>34</v>
      </c>
      <c r="DI14" s="54" t="s">
        <v>34</v>
      </c>
      <c r="DJ14" s="54" t="s">
        <v>34</v>
      </c>
      <c r="DK14" s="54" t="s">
        <v>118</v>
      </c>
      <c r="DL14" s="54" t="s">
        <v>118</v>
      </c>
      <c r="DM14" s="54" t="s">
        <v>118</v>
      </c>
      <c r="DN14" s="54" t="s">
        <v>34</v>
      </c>
      <c r="DO14" s="54" t="s">
        <v>34</v>
      </c>
      <c r="DP14" s="54" t="s">
        <v>34</v>
      </c>
      <c r="DQ14" s="54" t="s">
        <v>118</v>
      </c>
      <c r="DR14" s="54" t="s">
        <v>34</v>
      </c>
      <c r="DS14" s="54" t="s">
        <v>34</v>
      </c>
      <c r="DT14" s="54" t="s">
        <v>34</v>
      </c>
      <c r="DU14" s="54" t="s">
        <v>34</v>
      </c>
      <c r="DV14" s="54" t="s">
        <v>34</v>
      </c>
      <c r="DW14" s="54" t="s">
        <v>118</v>
      </c>
      <c r="DX14" s="54"/>
      <c r="DY14" s="54" t="s">
        <v>118</v>
      </c>
      <c r="DZ14" s="54"/>
      <c r="EA14" s="54"/>
      <c r="EB14" s="54"/>
      <c r="EC14" s="54"/>
      <c r="ED14" s="54"/>
      <c r="EE14" s="54" t="s">
        <v>34</v>
      </c>
      <c r="EF14" s="54" t="s">
        <v>34</v>
      </c>
      <c r="EG14" s="54" t="s">
        <v>34</v>
      </c>
      <c r="EH14" s="54" t="s">
        <v>34</v>
      </c>
      <c r="EI14" s="54" t="s">
        <v>34</v>
      </c>
      <c r="EJ14" s="54" t="s">
        <v>34</v>
      </c>
      <c r="EK14" s="54" t="s">
        <v>34</v>
      </c>
      <c r="EL14" s="54" t="s">
        <v>34</v>
      </c>
      <c r="EM14" s="54" t="s">
        <v>34</v>
      </c>
      <c r="EN14" s="54" t="s">
        <v>34</v>
      </c>
      <c r="EO14" s="54" t="s">
        <v>34</v>
      </c>
      <c r="EP14" s="54" t="s">
        <v>118</v>
      </c>
      <c r="EQ14" s="54" t="s">
        <v>34</v>
      </c>
      <c r="ER14" s="54" t="s">
        <v>34</v>
      </c>
      <c r="ES14" s="54" t="s">
        <v>34</v>
      </c>
      <c r="ET14" s="54" t="s">
        <v>34</v>
      </c>
      <c r="EU14" s="54" t="s">
        <v>34</v>
      </c>
      <c r="EV14" s="54" t="s">
        <v>34</v>
      </c>
      <c r="EW14" s="54" t="s">
        <v>34</v>
      </c>
      <c r="EX14" s="54" t="s">
        <v>34</v>
      </c>
      <c r="EY14" s="54" t="s">
        <v>34</v>
      </c>
      <c r="EZ14" s="54" t="s">
        <v>34</v>
      </c>
      <c r="FA14" s="54" t="s">
        <v>34</v>
      </c>
      <c r="FB14" s="54" t="s">
        <v>34</v>
      </c>
      <c r="FC14" s="54" t="s">
        <v>34</v>
      </c>
      <c r="FD14" s="54" t="s">
        <v>34</v>
      </c>
      <c r="FE14" s="54" t="s">
        <v>34</v>
      </c>
      <c r="FF14" s="54" t="s">
        <v>34</v>
      </c>
      <c r="FG14" s="54" t="s">
        <v>34</v>
      </c>
      <c r="FH14" s="54" t="s">
        <v>34</v>
      </c>
      <c r="FI14" s="54" t="s">
        <v>34</v>
      </c>
      <c r="FJ14" s="54" t="s">
        <v>34</v>
      </c>
      <c r="FK14" s="54" t="s">
        <v>34</v>
      </c>
      <c r="FL14" s="54" t="s">
        <v>34</v>
      </c>
      <c r="FM14" s="54" t="s">
        <v>34</v>
      </c>
      <c r="FN14" s="54" t="s">
        <v>34</v>
      </c>
      <c r="FO14" s="54" t="s">
        <v>34</v>
      </c>
      <c r="FP14" s="54" t="s">
        <v>34</v>
      </c>
      <c r="FQ14" s="54" t="s">
        <v>34</v>
      </c>
      <c r="FR14" s="54" t="s">
        <v>34</v>
      </c>
      <c r="FS14" s="54" t="s">
        <v>34</v>
      </c>
      <c r="FT14" s="54" t="s">
        <v>34</v>
      </c>
      <c r="FU14" s="54" t="s">
        <v>34</v>
      </c>
      <c r="FV14" s="54" t="s">
        <v>34</v>
      </c>
      <c r="FW14" s="54" t="s">
        <v>34</v>
      </c>
      <c r="FX14" s="54" t="s">
        <v>34</v>
      </c>
      <c r="FY14" s="54" t="s">
        <v>34</v>
      </c>
      <c r="FZ14" s="54" t="s">
        <v>34</v>
      </c>
      <c r="GA14" s="54" t="s">
        <v>34</v>
      </c>
      <c r="GB14" s="54" t="s">
        <v>34</v>
      </c>
      <c r="GC14" s="54" t="s">
        <v>34</v>
      </c>
      <c r="GD14" s="54" t="s">
        <v>34</v>
      </c>
      <c r="GE14" s="54" t="s">
        <v>34</v>
      </c>
      <c r="GF14" s="54" t="s">
        <v>34</v>
      </c>
      <c r="GG14" s="54" t="s">
        <v>34</v>
      </c>
      <c r="GH14" s="54" t="s">
        <v>34</v>
      </c>
      <c r="GI14" s="54" t="s">
        <v>34</v>
      </c>
      <c r="GJ14" s="54" t="s">
        <v>34</v>
      </c>
      <c r="GK14" s="54" t="s">
        <v>34</v>
      </c>
      <c r="GL14" s="54" t="s">
        <v>34</v>
      </c>
      <c r="GM14" s="54" t="s">
        <v>34</v>
      </c>
      <c r="GN14" s="54" t="s">
        <v>34</v>
      </c>
      <c r="GO14" s="54" t="s">
        <v>34</v>
      </c>
      <c r="GP14" s="54" t="s">
        <v>34</v>
      </c>
      <c r="GQ14" s="54" t="s">
        <v>34</v>
      </c>
      <c r="GR14" s="54" t="s">
        <v>34</v>
      </c>
      <c r="GS14" s="54" t="s">
        <v>34</v>
      </c>
      <c r="GT14" s="54" t="s">
        <v>34</v>
      </c>
      <c r="GU14" s="54" t="s">
        <v>34</v>
      </c>
      <c r="GV14" s="54" t="s">
        <v>34</v>
      </c>
    </row>
    <row r="15">
      <c r="A15" s="57" t="s">
        <v>682</v>
      </c>
      <c r="D15" s="53" t="str">
        <f t="array" ref="D15">IF('Wątki'!B16=$A$1,INDIRECT("Klasa"),IF('Wątki'!B16=$A$2,INDIRECT("Grupa"),IF('Wątki'!B16=$A$3,INDIRECT("Postać"),"Nie")))</f>
        <v>Nie</v>
      </c>
      <c r="E15" s="53"/>
      <c r="F15" s="54" t="s">
        <v>35</v>
      </c>
      <c r="G15" s="54" t="s">
        <v>35</v>
      </c>
      <c r="H15" s="54" t="s">
        <v>35</v>
      </c>
      <c r="I15" s="54"/>
      <c r="J15" s="54" t="s">
        <v>35</v>
      </c>
      <c r="K15" s="54" t="s">
        <v>35</v>
      </c>
      <c r="L15" s="54" t="s">
        <v>35</v>
      </c>
      <c r="M15" s="54" t="s">
        <v>35</v>
      </c>
      <c r="N15" s="54" t="s">
        <v>35</v>
      </c>
      <c r="O15" s="54" t="s">
        <v>35</v>
      </c>
      <c r="P15" s="54" t="s">
        <v>35</v>
      </c>
      <c r="Q15" s="54" t="s">
        <v>35</v>
      </c>
      <c r="R15" s="54" t="s">
        <v>35</v>
      </c>
      <c r="S15" s="54" t="s">
        <v>35</v>
      </c>
      <c r="T15" s="54" t="s">
        <v>35</v>
      </c>
      <c r="U15" s="54" t="s">
        <v>35</v>
      </c>
      <c r="V15" s="54" t="s">
        <v>120</v>
      </c>
      <c r="W15" s="54" t="s">
        <v>35</v>
      </c>
      <c r="X15" s="54" t="s">
        <v>35</v>
      </c>
      <c r="Y15" s="54" t="s">
        <v>35</v>
      </c>
      <c r="Z15" s="54" t="s">
        <v>35</v>
      </c>
      <c r="AA15" s="54"/>
      <c r="AB15" s="54" t="s">
        <v>35</v>
      </c>
      <c r="AC15" s="54" t="s">
        <v>35</v>
      </c>
      <c r="AD15" s="54" t="s">
        <v>35</v>
      </c>
      <c r="AE15" s="54" t="s">
        <v>35</v>
      </c>
      <c r="AF15" s="54" t="s">
        <v>35</v>
      </c>
      <c r="AG15" s="54" t="s">
        <v>35</v>
      </c>
      <c r="AH15" s="54" t="s">
        <v>35</v>
      </c>
      <c r="AI15" s="54" t="s">
        <v>35</v>
      </c>
      <c r="AJ15" s="54" t="s">
        <v>35</v>
      </c>
      <c r="AK15" s="54" t="s">
        <v>35</v>
      </c>
      <c r="AL15" s="54" t="s">
        <v>120</v>
      </c>
      <c r="AM15" s="54" t="s">
        <v>35</v>
      </c>
      <c r="AN15" s="54" t="s">
        <v>35</v>
      </c>
      <c r="AO15" s="54" t="s">
        <v>35</v>
      </c>
      <c r="AP15" s="54" t="s">
        <v>35</v>
      </c>
      <c r="AQ15" s="54" t="s">
        <v>35</v>
      </c>
      <c r="AR15" s="54" t="s">
        <v>35</v>
      </c>
      <c r="AS15" s="54" t="s">
        <v>35</v>
      </c>
      <c r="AT15" s="54" t="s">
        <v>35</v>
      </c>
      <c r="AU15" s="54" t="s">
        <v>35</v>
      </c>
      <c r="AV15" s="54" t="s">
        <v>120</v>
      </c>
      <c r="AW15" s="54" t="s">
        <v>35</v>
      </c>
      <c r="AX15" s="54" t="s">
        <v>120</v>
      </c>
      <c r="AY15" s="54" t="s">
        <v>120</v>
      </c>
      <c r="AZ15" s="54" t="s">
        <v>120</v>
      </c>
      <c r="BA15" s="54" t="s">
        <v>120</v>
      </c>
      <c r="BB15" s="54" t="s">
        <v>120</v>
      </c>
      <c r="BC15" s="54" t="s">
        <v>120</v>
      </c>
      <c r="BD15" s="54" t="s">
        <v>120</v>
      </c>
      <c r="BE15" s="54" t="s">
        <v>120</v>
      </c>
      <c r="BF15" s="54" t="s">
        <v>120</v>
      </c>
      <c r="BG15" s="54" t="s">
        <v>120</v>
      </c>
      <c r="BH15" s="54" t="s">
        <v>120</v>
      </c>
      <c r="BI15" s="54" t="s">
        <v>120</v>
      </c>
      <c r="BJ15" s="54" t="s">
        <v>120</v>
      </c>
      <c r="BK15" s="54" t="s">
        <v>120</v>
      </c>
      <c r="BL15" s="54" t="s">
        <v>120</v>
      </c>
      <c r="BM15" s="54" t="s">
        <v>120</v>
      </c>
      <c r="BN15" s="54" t="s">
        <v>120</v>
      </c>
      <c r="BO15" s="54" t="s">
        <v>120</v>
      </c>
      <c r="BP15" s="54" t="s">
        <v>120</v>
      </c>
      <c r="BQ15" s="54" t="s">
        <v>35</v>
      </c>
      <c r="BR15" s="54" t="s">
        <v>35</v>
      </c>
      <c r="BS15" s="54" t="s">
        <v>35</v>
      </c>
      <c r="BT15" s="54" t="s">
        <v>120</v>
      </c>
      <c r="BU15" s="54" t="s">
        <v>35</v>
      </c>
      <c r="BV15" s="54" t="s">
        <v>35</v>
      </c>
      <c r="BW15" s="54" t="s">
        <v>120</v>
      </c>
      <c r="BX15" s="54" t="s">
        <v>35</v>
      </c>
      <c r="BY15" s="54" t="s">
        <v>35</v>
      </c>
      <c r="BZ15" s="54" t="s">
        <v>35</v>
      </c>
      <c r="CA15" s="54" t="s">
        <v>35</v>
      </c>
      <c r="CB15" s="54" t="s">
        <v>35</v>
      </c>
      <c r="CC15" s="54" t="s">
        <v>35</v>
      </c>
      <c r="CD15" s="54" t="s">
        <v>35</v>
      </c>
      <c r="CE15" s="54" t="s">
        <v>35</v>
      </c>
      <c r="CF15" s="54" t="s">
        <v>120</v>
      </c>
      <c r="CG15" s="54" t="s">
        <v>35</v>
      </c>
      <c r="CH15" s="54" t="s">
        <v>35</v>
      </c>
      <c r="CI15" s="54" t="s">
        <v>35</v>
      </c>
      <c r="CJ15" s="54" t="s">
        <v>35</v>
      </c>
      <c r="CK15" s="54" t="s">
        <v>35</v>
      </c>
      <c r="CL15" s="54" t="s">
        <v>35</v>
      </c>
      <c r="CM15" s="54" t="s">
        <v>120</v>
      </c>
      <c r="CN15" s="54"/>
      <c r="CO15" s="54" t="s">
        <v>35</v>
      </c>
      <c r="CP15" s="54" t="s">
        <v>35</v>
      </c>
      <c r="CQ15" s="54" t="s">
        <v>35</v>
      </c>
      <c r="CR15" s="54" t="s">
        <v>35</v>
      </c>
      <c r="CS15" s="54" t="s">
        <v>120</v>
      </c>
      <c r="CT15" s="54" t="s">
        <v>120</v>
      </c>
      <c r="CU15" s="54" t="s">
        <v>35</v>
      </c>
      <c r="CV15" s="54" t="s">
        <v>120</v>
      </c>
      <c r="CW15" s="54" t="s">
        <v>35</v>
      </c>
      <c r="CX15" s="54" t="s">
        <v>35</v>
      </c>
      <c r="CY15" s="54" t="s">
        <v>35</v>
      </c>
      <c r="CZ15" s="54"/>
      <c r="DA15" s="54" t="s">
        <v>35</v>
      </c>
      <c r="DB15" s="54" t="s">
        <v>35</v>
      </c>
      <c r="DC15" s="54" t="s">
        <v>120</v>
      </c>
      <c r="DD15" s="54" t="s">
        <v>120</v>
      </c>
      <c r="DE15" s="54" t="s">
        <v>120</v>
      </c>
      <c r="DF15" s="54" t="s">
        <v>35</v>
      </c>
      <c r="DG15" s="54" t="s">
        <v>35</v>
      </c>
      <c r="DH15" s="54" t="s">
        <v>35</v>
      </c>
      <c r="DI15" s="54" t="s">
        <v>35</v>
      </c>
      <c r="DJ15" s="54" t="s">
        <v>35</v>
      </c>
      <c r="DK15" s="54" t="s">
        <v>120</v>
      </c>
      <c r="DL15" s="54" t="s">
        <v>120</v>
      </c>
      <c r="DM15" s="54" t="s">
        <v>120</v>
      </c>
      <c r="DN15" s="54" t="s">
        <v>35</v>
      </c>
      <c r="DO15" s="54" t="s">
        <v>35</v>
      </c>
      <c r="DP15" s="54" t="s">
        <v>35</v>
      </c>
      <c r="DQ15" s="54" t="s">
        <v>120</v>
      </c>
      <c r="DR15" s="54" t="s">
        <v>35</v>
      </c>
      <c r="DS15" s="54" t="s">
        <v>35</v>
      </c>
      <c r="DT15" s="54" t="s">
        <v>35</v>
      </c>
      <c r="DU15" s="54" t="s">
        <v>35</v>
      </c>
      <c r="DV15" s="54" t="s">
        <v>35</v>
      </c>
      <c r="DW15" s="54" t="s">
        <v>120</v>
      </c>
      <c r="DX15" s="54"/>
      <c r="DY15" s="54" t="s">
        <v>120</v>
      </c>
      <c r="DZ15" s="54"/>
      <c r="EA15" s="54"/>
      <c r="EB15" s="54"/>
      <c r="EC15" s="54"/>
      <c r="ED15" s="54"/>
      <c r="EE15" s="54" t="s">
        <v>35</v>
      </c>
      <c r="EF15" s="54" t="s">
        <v>35</v>
      </c>
      <c r="EG15" s="54" t="s">
        <v>35</v>
      </c>
      <c r="EH15" s="54" t="s">
        <v>35</v>
      </c>
      <c r="EI15" s="54" t="s">
        <v>35</v>
      </c>
      <c r="EJ15" s="54" t="s">
        <v>35</v>
      </c>
      <c r="EK15" s="54" t="s">
        <v>35</v>
      </c>
      <c r="EL15" s="54" t="s">
        <v>35</v>
      </c>
      <c r="EM15" s="54" t="s">
        <v>35</v>
      </c>
      <c r="EN15" s="54" t="s">
        <v>35</v>
      </c>
      <c r="EO15" s="54" t="s">
        <v>35</v>
      </c>
      <c r="EP15" s="54" t="s">
        <v>120</v>
      </c>
      <c r="EQ15" s="54" t="s">
        <v>35</v>
      </c>
      <c r="ER15" s="54" t="s">
        <v>35</v>
      </c>
      <c r="ES15" s="54" t="s">
        <v>35</v>
      </c>
      <c r="ET15" s="54" t="s">
        <v>35</v>
      </c>
      <c r="EU15" s="54" t="s">
        <v>35</v>
      </c>
      <c r="EV15" s="54" t="s">
        <v>35</v>
      </c>
      <c r="EW15" s="54" t="s">
        <v>35</v>
      </c>
      <c r="EX15" s="54" t="s">
        <v>35</v>
      </c>
      <c r="EY15" s="54" t="s">
        <v>35</v>
      </c>
      <c r="EZ15" s="54" t="s">
        <v>35</v>
      </c>
      <c r="FA15" s="54" t="s">
        <v>35</v>
      </c>
      <c r="FB15" s="54" t="s">
        <v>35</v>
      </c>
      <c r="FC15" s="54" t="s">
        <v>35</v>
      </c>
      <c r="FD15" s="54" t="s">
        <v>35</v>
      </c>
      <c r="FE15" s="54" t="s">
        <v>35</v>
      </c>
      <c r="FF15" s="54" t="s">
        <v>35</v>
      </c>
      <c r="FG15" s="54" t="s">
        <v>35</v>
      </c>
      <c r="FH15" s="54" t="s">
        <v>35</v>
      </c>
      <c r="FI15" s="54" t="s">
        <v>35</v>
      </c>
      <c r="FJ15" s="54" t="s">
        <v>35</v>
      </c>
      <c r="FK15" s="54" t="s">
        <v>35</v>
      </c>
      <c r="FL15" s="54" t="s">
        <v>35</v>
      </c>
      <c r="FM15" s="54" t="s">
        <v>35</v>
      </c>
      <c r="FN15" s="54" t="s">
        <v>35</v>
      </c>
      <c r="FO15" s="54" t="s">
        <v>35</v>
      </c>
      <c r="FP15" s="54" t="s">
        <v>35</v>
      </c>
      <c r="FQ15" s="54" t="s">
        <v>35</v>
      </c>
      <c r="FR15" s="54" t="s">
        <v>35</v>
      </c>
      <c r="FS15" s="54" t="s">
        <v>35</v>
      </c>
      <c r="FT15" s="54" t="s">
        <v>35</v>
      </c>
      <c r="FU15" s="54" t="s">
        <v>35</v>
      </c>
      <c r="FV15" s="54" t="s">
        <v>35</v>
      </c>
      <c r="FW15" s="54" t="s">
        <v>35</v>
      </c>
      <c r="FX15" s="54" t="s">
        <v>35</v>
      </c>
      <c r="FY15" s="54" t="s">
        <v>35</v>
      </c>
      <c r="FZ15" s="54" t="s">
        <v>35</v>
      </c>
      <c r="GA15" s="54" t="s">
        <v>35</v>
      </c>
      <c r="GB15" s="54" t="s">
        <v>35</v>
      </c>
      <c r="GC15" s="54" t="s">
        <v>35</v>
      </c>
      <c r="GD15" s="54" t="s">
        <v>35</v>
      </c>
      <c r="GE15" s="54" t="s">
        <v>35</v>
      </c>
      <c r="GF15" s="54" t="s">
        <v>35</v>
      </c>
      <c r="GG15" s="54" t="s">
        <v>35</v>
      </c>
      <c r="GH15" s="54" t="s">
        <v>35</v>
      </c>
      <c r="GI15" s="54" t="s">
        <v>35</v>
      </c>
      <c r="GJ15" s="54" t="s">
        <v>35</v>
      </c>
      <c r="GK15" s="54" t="s">
        <v>35</v>
      </c>
      <c r="GL15" s="54" t="s">
        <v>35</v>
      </c>
      <c r="GM15" s="54" t="s">
        <v>35</v>
      </c>
      <c r="GN15" s="54" t="s">
        <v>35</v>
      </c>
      <c r="GO15" s="54" t="s">
        <v>35</v>
      </c>
      <c r="GP15" s="54" t="s">
        <v>35</v>
      </c>
      <c r="GQ15" s="54" t="s">
        <v>35</v>
      </c>
      <c r="GR15" s="54" t="s">
        <v>35</v>
      </c>
      <c r="GS15" s="54" t="s">
        <v>35</v>
      </c>
      <c r="GT15" s="54" t="s">
        <v>35</v>
      </c>
      <c r="GU15" s="54" t="s">
        <v>35</v>
      </c>
      <c r="GV15" s="54" t="s">
        <v>35</v>
      </c>
    </row>
    <row r="16">
      <c r="A16" s="57" t="s">
        <v>683</v>
      </c>
      <c r="D16" s="53" t="str">
        <f t="array" ref="D16">IF('Wątki'!B17=$A$1,INDIRECT("Klasa"),IF('Wątki'!B17=$A$2,INDIRECT("Grupa"),IF('Wątki'!B17=$A$3,INDIRECT("Postać"),"Nie")))</f>
        <v>Nie</v>
      </c>
      <c r="E16" s="53"/>
      <c r="F16" s="54" t="s">
        <v>37</v>
      </c>
      <c r="G16" s="54" t="s">
        <v>37</v>
      </c>
      <c r="H16" s="54" t="s">
        <v>37</v>
      </c>
      <c r="I16" s="54"/>
      <c r="J16" s="54" t="s">
        <v>37</v>
      </c>
      <c r="K16" s="54" t="s">
        <v>37</v>
      </c>
      <c r="L16" s="54" t="s">
        <v>37</v>
      </c>
      <c r="M16" s="54" t="s">
        <v>37</v>
      </c>
      <c r="N16" s="54" t="s">
        <v>37</v>
      </c>
      <c r="O16" s="54" t="s">
        <v>37</v>
      </c>
      <c r="P16" s="54" t="s">
        <v>37</v>
      </c>
      <c r="Q16" s="54" t="s">
        <v>37</v>
      </c>
      <c r="R16" s="54" t="s">
        <v>37</v>
      </c>
      <c r="S16" s="54" t="s">
        <v>37</v>
      </c>
      <c r="T16" s="54" t="s">
        <v>37</v>
      </c>
      <c r="U16" s="54" t="s">
        <v>37</v>
      </c>
      <c r="V16" s="54" t="s">
        <v>122</v>
      </c>
      <c r="W16" s="54" t="s">
        <v>37</v>
      </c>
      <c r="X16" s="54" t="s">
        <v>37</v>
      </c>
      <c r="Y16" s="54" t="s">
        <v>37</v>
      </c>
      <c r="Z16" s="54" t="s">
        <v>37</v>
      </c>
      <c r="AA16" s="54"/>
      <c r="AB16" s="54" t="s">
        <v>37</v>
      </c>
      <c r="AC16" s="54" t="s">
        <v>37</v>
      </c>
      <c r="AD16" s="54" t="s">
        <v>37</v>
      </c>
      <c r="AE16" s="54" t="s">
        <v>37</v>
      </c>
      <c r="AF16" s="54" t="s">
        <v>37</v>
      </c>
      <c r="AG16" s="54" t="s">
        <v>37</v>
      </c>
      <c r="AH16" s="54" t="s">
        <v>37</v>
      </c>
      <c r="AI16" s="54" t="s">
        <v>37</v>
      </c>
      <c r="AJ16" s="54" t="s">
        <v>37</v>
      </c>
      <c r="AK16" s="54" t="s">
        <v>37</v>
      </c>
      <c r="AL16" s="54" t="s">
        <v>122</v>
      </c>
      <c r="AM16" s="54" t="s">
        <v>37</v>
      </c>
      <c r="AN16" s="54" t="s">
        <v>37</v>
      </c>
      <c r="AO16" s="54" t="s">
        <v>37</v>
      </c>
      <c r="AP16" s="54" t="s">
        <v>37</v>
      </c>
      <c r="AQ16" s="54" t="s">
        <v>37</v>
      </c>
      <c r="AR16" s="54" t="s">
        <v>37</v>
      </c>
      <c r="AS16" s="54" t="s">
        <v>37</v>
      </c>
      <c r="AT16" s="54" t="s">
        <v>37</v>
      </c>
      <c r="AU16" s="54" t="s">
        <v>37</v>
      </c>
      <c r="AV16" s="54" t="s">
        <v>122</v>
      </c>
      <c r="AW16" s="54" t="s">
        <v>37</v>
      </c>
      <c r="AX16" s="54" t="s">
        <v>122</v>
      </c>
      <c r="AY16" s="54" t="s">
        <v>122</v>
      </c>
      <c r="AZ16" s="54" t="s">
        <v>122</v>
      </c>
      <c r="BA16" s="54" t="s">
        <v>122</v>
      </c>
      <c r="BB16" s="54" t="s">
        <v>122</v>
      </c>
      <c r="BC16" s="54" t="s">
        <v>122</v>
      </c>
      <c r="BD16" s="54" t="s">
        <v>122</v>
      </c>
      <c r="BE16" s="54" t="s">
        <v>122</v>
      </c>
      <c r="BF16" s="54" t="s">
        <v>122</v>
      </c>
      <c r="BG16" s="54" t="s">
        <v>122</v>
      </c>
      <c r="BH16" s="54" t="s">
        <v>122</v>
      </c>
      <c r="BI16" s="54" t="s">
        <v>122</v>
      </c>
      <c r="BJ16" s="54" t="s">
        <v>122</v>
      </c>
      <c r="BK16" s="54" t="s">
        <v>122</v>
      </c>
      <c r="BL16" s="54" t="s">
        <v>122</v>
      </c>
      <c r="BM16" s="54" t="s">
        <v>122</v>
      </c>
      <c r="BN16" s="54" t="s">
        <v>122</v>
      </c>
      <c r="BO16" s="54" t="s">
        <v>122</v>
      </c>
      <c r="BP16" s="54" t="s">
        <v>122</v>
      </c>
      <c r="BQ16" s="54" t="s">
        <v>37</v>
      </c>
      <c r="BR16" s="54" t="s">
        <v>37</v>
      </c>
      <c r="BS16" s="54" t="s">
        <v>37</v>
      </c>
      <c r="BT16" s="54" t="s">
        <v>122</v>
      </c>
      <c r="BU16" s="54" t="s">
        <v>37</v>
      </c>
      <c r="BV16" s="54" t="s">
        <v>37</v>
      </c>
      <c r="BW16" s="54" t="s">
        <v>122</v>
      </c>
      <c r="BX16" s="54" t="s">
        <v>37</v>
      </c>
      <c r="BY16" s="54" t="s">
        <v>37</v>
      </c>
      <c r="BZ16" s="54" t="s">
        <v>37</v>
      </c>
      <c r="CA16" s="54" t="s">
        <v>37</v>
      </c>
      <c r="CB16" s="54" t="s">
        <v>37</v>
      </c>
      <c r="CC16" s="54" t="s">
        <v>37</v>
      </c>
      <c r="CD16" s="54" t="s">
        <v>37</v>
      </c>
      <c r="CE16" s="54" t="s">
        <v>37</v>
      </c>
      <c r="CF16" s="54" t="s">
        <v>122</v>
      </c>
      <c r="CG16" s="54" t="s">
        <v>37</v>
      </c>
      <c r="CH16" s="54" t="s">
        <v>37</v>
      </c>
      <c r="CI16" s="54" t="s">
        <v>37</v>
      </c>
      <c r="CJ16" s="54" t="s">
        <v>37</v>
      </c>
      <c r="CK16" s="54" t="s">
        <v>37</v>
      </c>
      <c r="CL16" s="54" t="s">
        <v>37</v>
      </c>
      <c r="CM16" s="54" t="s">
        <v>122</v>
      </c>
      <c r="CN16" s="54"/>
      <c r="CO16" s="54" t="s">
        <v>37</v>
      </c>
      <c r="CP16" s="54" t="s">
        <v>37</v>
      </c>
      <c r="CQ16" s="54" t="s">
        <v>37</v>
      </c>
      <c r="CR16" s="54" t="s">
        <v>37</v>
      </c>
      <c r="CS16" s="54" t="s">
        <v>122</v>
      </c>
      <c r="CT16" s="54" t="s">
        <v>122</v>
      </c>
      <c r="CU16" s="54" t="s">
        <v>37</v>
      </c>
      <c r="CV16" s="54" t="s">
        <v>122</v>
      </c>
      <c r="CW16" s="54" t="s">
        <v>37</v>
      </c>
      <c r="CX16" s="54" t="s">
        <v>37</v>
      </c>
      <c r="CY16" s="54" t="s">
        <v>37</v>
      </c>
      <c r="CZ16" s="54"/>
      <c r="DA16" s="54" t="s">
        <v>37</v>
      </c>
      <c r="DB16" s="54" t="s">
        <v>37</v>
      </c>
      <c r="DC16" s="54" t="s">
        <v>122</v>
      </c>
      <c r="DD16" s="54" t="s">
        <v>122</v>
      </c>
      <c r="DE16" s="54" t="s">
        <v>122</v>
      </c>
      <c r="DF16" s="54" t="s">
        <v>37</v>
      </c>
      <c r="DG16" s="54" t="s">
        <v>37</v>
      </c>
      <c r="DH16" s="54" t="s">
        <v>37</v>
      </c>
      <c r="DI16" s="54" t="s">
        <v>37</v>
      </c>
      <c r="DJ16" s="54" t="s">
        <v>37</v>
      </c>
      <c r="DK16" s="54" t="s">
        <v>122</v>
      </c>
      <c r="DL16" s="54" t="s">
        <v>122</v>
      </c>
      <c r="DM16" s="54" t="s">
        <v>122</v>
      </c>
      <c r="DN16" s="54" t="s">
        <v>37</v>
      </c>
      <c r="DO16" s="54" t="s">
        <v>37</v>
      </c>
      <c r="DP16" s="54" t="s">
        <v>37</v>
      </c>
      <c r="DQ16" s="54" t="s">
        <v>122</v>
      </c>
      <c r="DR16" s="54" t="s">
        <v>37</v>
      </c>
      <c r="DS16" s="54" t="s">
        <v>37</v>
      </c>
      <c r="DT16" s="54" t="s">
        <v>37</v>
      </c>
      <c r="DU16" s="54" t="s">
        <v>37</v>
      </c>
      <c r="DV16" s="54" t="s">
        <v>37</v>
      </c>
      <c r="DW16" s="54" t="s">
        <v>122</v>
      </c>
      <c r="DX16" s="54"/>
      <c r="DY16" s="54" t="s">
        <v>122</v>
      </c>
      <c r="DZ16" s="54"/>
      <c r="EA16" s="54"/>
      <c r="EB16" s="54"/>
      <c r="EC16" s="54"/>
      <c r="ED16" s="54"/>
      <c r="EE16" s="54" t="s">
        <v>37</v>
      </c>
      <c r="EF16" s="54" t="s">
        <v>37</v>
      </c>
      <c r="EG16" s="54" t="s">
        <v>37</v>
      </c>
      <c r="EH16" s="54" t="s">
        <v>37</v>
      </c>
      <c r="EI16" s="54" t="s">
        <v>37</v>
      </c>
      <c r="EJ16" s="54" t="s">
        <v>37</v>
      </c>
      <c r="EK16" s="54" t="s">
        <v>37</v>
      </c>
      <c r="EL16" s="54" t="s">
        <v>37</v>
      </c>
      <c r="EM16" s="54" t="s">
        <v>37</v>
      </c>
      <c r="EN16" s="54" t="s">
        <v>37</v>
      </c>
      <c r="EO16" s="54" t="s">
        <v>37</v>
      </c>
      <c r="EP16" s="54" t="s">
        <v>122</v>
      </c>
      <c r="EQ16" s="54" t="s">
        <v>37</v>
      </c>
      <c r="ER16" s="54" t="s">
        <v>37</v>
      </c>
      <c r="ES16" s="54" t="s">
        <v>37</v>
      </c>
      <c r="ET16" s="54" t="s">
        <v>37</v>
      </c>
      <c r="EU16" s="54" t="s">
        <v>37</v>
      </c>
      <c r="EV16" s="54" t="s">
        <v>37</v>
      </c>
      <c r="EW16" s="54" t="s">
        <v>37</v>
      </c>
      <c r="EX16" s="54" t="s">
        <v>37</v>
      </c>
      <c r="EY16" s="54" t="s">
        <v>37</v>
      </c>
      <c r="EZ16" s="54" t="s">
        <v>37</v>
      </c>
      <c r="FA16" s="54" t="s">
        <v>37</v>
      </c>
      <c r="FB16" s="54" t="s">
        <v>37</v>
      </c>
      <c r="FC16" s="54" t="s">
        <v>37</v>
      </c>
      <c r="FD16" s="54" t="s">
        <v>37</v>
      </c>
      <c r="FE16" s="54" t="s">
        <v>37</v>
      </c>
      <c r="FF16" s="54" t="s">
        <v>37</v>
      </c>
      <c r="FG16" s="54" t="s">
        <v>37</v>
      </c>
      <c r="FH16" s="54" t="s">
        <v>37</v>
      </c>
      <c r="FI16" s="54" t="s">
        <v>37</v>
      </c>
      <c r="FJ16" s="54" t="s">
        <v>37</v>
      </c>
      <c r="FK16" s="54" t="s">
        <v>37</v>
      </c>
      <c r="FL16" s="54" t="s">
        <v>37</v>
      </c>
      <c r="FM16" s="54" t="s">
        <v>37</v>
      </c>
      <c r="FN16" s="54" t="s">
        <v>37</v>
      </c>
      <c r="FO16" s="54" t="s">
        <v>37</v>
      </c>
      <c r="FP16" s="54" t="s">
        <v>37</v>
      </c>
      <c r="FQ16" s="54" t="s">
        <v>37</v>
      </c>
      <c r="FR16" s="54" t="s">
        <v>37</v>
      </c>
      <c r="FS16" s="54" t="s">
        <v>37</v>
      </c>
      <c r="FT16" s="54" t="s">
        <v>37</v>
      </c>
      <c r="FU16" s="54" t="s">
        <v>37</v>
      </c>
      <c r="FV16" s="54" t="s">
        <v>37</v>
      </c>
      <c r="FW16" s="54" t="s">
        <v>37</v>
      </c>
      <c r="FX16" s="54" t="s">
        <v>37</v>
      </c>
      <c r="FY16" s="54" t="s">
        <v>37</v>
      </c>
      <c r="FZ16" s="54" t="s">
        <v>37</v>
      </c>
      <c r="GA16" s="54" t="s">
        <v>37</v>
      </c>
      <c r="GB16" s="54" t="s">
        <v>37</v>
      </c>
      <c r="GC16" s="54" t="s">
        <v>37</v>
      </c>
      <c r="GD16" s="54" t="s">
        <v>37</v>
      </c>
      <c r="GE16" s="54" t="s">
        <v>37</v>
      </c>
      <c r="GF16" s="54" t="s">
        <v>37</v>
      </c>
      <c r="GG16" s="54" t="s">
        <v>37</v>
      </c>
      <c r="GH16" s="54" t="s">
        <v>37</v>
      </c>
      <c r="GI16" s="54" t="s">
        <v>37</v>
      </c>
      <c r="GJ16" s="54" t="s">
        <v>37</v>
      </c>
      <c r="GK16" s="54" t="s">
        <v>37</v>
      </c>
      <c r="GL16" s="54" t="s">
        <v>37</v>
      </c>
      <c r="GM16" s="54" t="s">
        <v>37</v>
      </c>
      <c r="GN16" s="54" t="s">
        <v>37</v>
      </c>
      <c r="GO16" s="54" t="s">
        <v>37</v>
      </c>
      <c r="GP16" s="54" t="s">
        <v>37</v>
      </c>
      <c r="GQ16" s="54" t="s">
        <v>37</v>
      </c>
      <c r="GR16" s="54" t="s">
        <v>37</v>
      </c>
      <c r="GS16" s="54" t="s">
        <v>37</v>
      </c>
      <c r="GT16" s="54" t="s">
        <v>37</v>
      </c>
      <c r="GU16" s="54" t="s">
        <v>37</v>
      </c>
      <c r="GV16" s="54" t="s">
        <v>37</v>
      </c>
    </row>
    <row r="17">
      <c r="A17" s="57" t="s">
        <v>684</v>
      </c>
      <c r="D17" s="53" t="str">
        <f t="array" ref="D17:E17">IF('Wątki'!B18=$A$1,INDIRECT("Klasa"),IF('Wątki'!B18=$A$2,INDIRECT("Grupa"),IF('Wątki'!B18=$A$3,INDIRECT("Postać"),"Nie")))</f>
        <v>Tak</v>
      </c>
      <c r="E17" s="53" t="s">
        <v>191</v>
      </c>
      <c r="F17" s="54" t="s">
        <v>38</v>
      </c>
      <c r="G17" s="54" t="s">
        <v>38</v>
      </c>
      <c r="H17" s="54" t="s">
        <v>38</v>
      </c>
      <c r="I17" s="54"/>
      <c r="J17" s="54" t="s">
        <v>38</v>
      </c>
      <c r="K17" s="54" t="s">
        <v>38</v>
      </c>
      <c r="L17" s="54" t="s">
        <v>38</v>
      </c>
      <c r="M17" s="54" t="s">
        <v>38</v>
      </c>
      <c r="N17" s="54" t="s">
        <v>38</v>
      </c>
      <c r="O17" s="54" t="s">
        <v>38</v>
      </c>
      <c r="P17" s="54" t="s">
        <v>38</v>
      </c>
      <c r="Q17" s="54" t="s">
        <v>38</v>
      </c>
      <c r="R17" s="54" t="s">
        <v>38</v>
      </c>
      <c r="S17" s="54" t="s">
        <v>38</v>
      </c>
      <c r="T17" s="54" t="s">
        <v>38</v>
      </c>
      <c r="U17" s="54" t="s">
        <v>38</v>
      </c>
      <c r="V17" s="54" t="s">
        <v>124</v>
      </c>
      <c r="W17" s="54" t="s">
        <v>38</v>
      </c>
      <c r="X17" s="54" t="s">
        <v>38</v>
      </c>
      <c r="Y17" s="54" t="s">
        <v>38</v>
      </c>
      <c r="Z17" s="54" t="s">
        <v>38</v>
      </c>
      <c r="AA17" s="54"/>
      <c r="AB17" s="54" t="s">
        <v>38</v>
      </c>
      <c r="AC17" s="54" t="s">
        <v>38</v>
      </c>
      <c r="AD17" s="54" t="s">
        <v>38</v>
      </c>
      <c r="AE17" s="54" t="s">
        <v>38</v>
      </c>
      <c r="AF17" s="54" t="s">
        <v>38</v>
      </c>
      <c r="AG17" s="54" t="s">
        <v>38</v>
      </c>
      <c r="AH17" s="54" t="s">
        <v>38</v>
      </c>
      <c r="AI17" s="54" t="s">
        <v>38</v>
      </c>
      <c r="AJ17" s="54" t="s">
        <v>38</v>
      </c>
      <c r="AK17" s="54" t="s">
        <v>38</v>
      </c>
      <c r="AL17" s="54" t="s">
        <v>124</v>
      </c>
      <c r="AM17" s="54" t="s">
        <v>38</v>
      </c>
      <c r="AN17" s="54" t="s">
        <v>38</v>
      </c>
      <c r="AO17" s="54" t="s">
        <v>38</v>
      </c>
      <c r="AP17" s="54" t="s">
        <v>38</v>
      </c>
      <c r="AQ17" s="54" t="s">
        <v>38</v>
      </c>
      <c r="AR17" s="54" t="s">
        <v>38</v>
      </c>
      <c r="AS17" s="54" t="s">
        <v>38</v>
      </c>
      <c r="AT17" s="54" t="s">
        <v>38</v>
      </c>
      <c r="AU17" s="54" t="s">
        <v>38</v>
      </c>
      <c r="AV17" s="54" t="s">
        <v>124</v>
      </c>
      <c r="AW17" s="54" t="s">
        <v>38</v>
      </c>
      <c r="AX17" s="54" t="s">
        <v>124</v>
      </c>
      <c r="AY17" s="54" t="s">
        <v>124</v>
      </c>
      <c r="AZ17" s="54" t="s">
        <v>124</v>
      </c>
      <c r="BA17" s="54" t="s">
        <v>124</v>
      </c>
      <c r="BB17" s="54" t="s">
        <v>124</v>
      </c>
      <c r="BC17" s="54" t="s">
        <v>124</v>
      </c>
      <c r="BD17" s="54" t="s">
        <v>124</v>
      </c>
      <c r="BE17" s="54" t="s">
        <v>124</v>
      </c>
      <c r="BF17" s="54" t="s">
        <v>124</v>
      </c>
      <c r="BG17" s="54" t="s">
        <v>124</v>
      </c>
      <c r="BH17" s="54" t="s">
        <v>124</v>
      </c>
      <c r="BI17" s="54" t="s">
        <v>124</v>
      </c>
      <c r="BJ17" s="54" t="s">
        <v>124</v>
      </c>
      <c r="BK17" s="54" t="s">
        <v>124</v>
      </c>
      <c r="BL17" s="54" t="s">
        <v>124</v>
      </c>
      <c r="BM17" s="54" t="s">
        <v>124</v>
      </c>
      <c r="BN17" s="54" t="s">
        <v>124</v>
      </c>
      <c r="BO17" s="54" t="s">
        <v>124</v>
      </c>
      <c r="BP17" s="54" t="s">
        <v>124</v>
      </c>
      <c r="BQ17" s="54" t="s">
        <v>38</v>
      </c>
      <c r="BR17" s="54" t="s">
        <v>38</v>
      </c>
      <c r="BS17" s="54" t="s">
        <v>38</v>
      </c>
      <c r="BT17" s="54" t="s">
        <v>124</v>
      </c>
      <c r="BU17" s="54" t="s">
        <v>38</v>
      </c>
      <c r="BV17" s="54" t="s">
        <v>38</v>
      </c>
      <c r="BW17" s="54" t="s">
        <v>124</v>
      </c>
      <c r="BX17" s="54" t="s">
        <v>38</v>
      </c>
      <c r="BY17" s="54" t="s">
        <v>38</v>
      </c>
      <c r="BZ17" s="54" t="s">
        <v>38</v>
      </c>
      <c r="CA17" s="54" t="s">
        <v>38</v>
      </c>
      <c r="CB17" s="54" t="s">
        <v>38</v>
      </c>
      <c r="CC17" s="54" t="s">
        <v>38</v>
      </c>
      <c r="CD17" s="54" t="s">
        <v>38</v>
      </c>
      <c r="CE17" s="54" t="s">
        <v>38</v>
      </c>
      <c r="CF17" s="54" t="s">
        <v>124</v>
      </c>
      <c r="CG17" s="54" t="s">
        <v>38</v>
      </c>
      <c r="CH17" s="54" t="s">
        <v>38</v>
      </c>
      <c r="CI17" s="54" t="s">
        <v>38</v>
      </c>
      <c r="CJ17" s="54" t="s">
        <v>38</v>
      </c>
      <c r="CK17" s="54" t="s">
        <v>38</v>
      </c>
      <c r="CL17" s="54" t="s">
        <v>38</v>
      </c>
      <c r="CM17" s="54" t="s">
        <v>124</v>
      </c>
      <c r="CN17" s="54"/>
      <c r="CO17" s="54" t="s">
        <v>38</v>
      </c>
      <c r="CP17" s="54" t="s">
        <v>38</v>
      </c>
      <c r="CQ17" s="54" t="s">
        <v>38</v>
      </c>
      <c r="CR17" s="54" t="s">
        <v>38</v>
      </c>
      <c r="CS17" s="54" t="s">
        <v>124</v>
      </c>
      <c r="CT17" s="54" t="s">
        <v>124</v>
      </c>
      <c r="CU17" s="54" t="s">
        <v>38</v>
      </c>
      <c r="CV17" s="54" t="s">
        <v>124</v>
      </c>
      <c r="CW17" s="54" t="s">
        <v>38</v>
      </c>
      <c r="CX17" s="54" t="s">
        <v>38</v>
      </c>
      <c r="CY17" s="54" t="s">
        <v>38</v>
      </c>
      <c r="CZ17" s="54"/>
      <c r="DA17" s="54" t="s">
        <v>38</v>
      </c>
      <c r="DB17" s="54" t="s">
        <v>38</v>
      </c>
      <c r="DC17" s="54" t="s">
        <v>124</v>
      </c>
      <c r="DD17" s="54" t="s">
        <v>124</v>
      </c>
      <c r="DE17" s="54" t="s">
        <v>124</v>
      </c>
      <c r="DF17" s="54" t="s">
        <v>38</v>
      </c>
      <c r="DG17" s="54" t="s">
        <v>38</v>
      </c>
      <c r="DH17" s="54" t="s">
        <v>38</v>
      </c>
      <c r="DI17" s="54" t="s">
        <v>38</v>
      </c>
      <c r="DJ17" s="54" t="s">
        <v>38</v>
      </c>
      <c r="DK17" s="54" t="s">
        <v>124</v>
      </c>
      <c r="DL17" s="54" t="s">
        <v>124</v>
      </c>
      <c r="DM17" s="54" t="s">
        <v>124</v>
      </c>
      <c r="DN17" s="54" t="s">
        <v>38</v>
      </c>
      <c r="DO17" s="54" t="s">
        <v>38</v>
      </c>
      <c r="DP17" s="54" t="s">
        <v>38</v>
      </c>
      <c r="DQ17" s="54" t="s">
        <v>124</v>
      </c>
      <c r="DR17" s="54" t="s">
        <v>38</v>
      </c>
      <c r="DS17" s="54" t="s">
        <v>38</v>
      </c>
      <c r="DT17" s="54" t="s">
        <v>38</v>
      </c>
      <c r="DU17" s="54" t="s">
        <v>38</v>
      </c>
      <c r="DV17" s="54" t="s">
        <v>38</v>
      </c>
      <c r="DW17" s="54" t="s">
        <v>124</v>
      </c>
      <c r="DX17" s="54"/>
      <c r="DY17" s="54" t="s">
        <v>124</v>
      </c>
      <c r="DZ17" s="54"/>
      <c r="EA17" s="54"/>
      <c r="EB17" s="54"/>
      <c r="EC17" s="54"/>
      <c r="ED17" s="54"/>
      <c r="EE17" s="54" t="s">
        <v>38</v>
      </c>
      <c r="EF17" s="54" t="s">
        <v>38</v>
      </c>
      <c r="EG17" s="54" t="s">
        <v>38</v>
      </c>
      <c r="EH17" s="54" t="s">
        <v>38</v>
      </c>
      <c r="EI17" s="54" t="s">
        <v>38</v>
      </c>
      <c r="EJ17" s="54" t="s">
        <v>38</v>
      </c>
      <c r="EK17" s="54" t="s">
        <v>38</v>
      </c>
      <c r="EL17" s="54" t="s">
        <v>38</v>
      </c>
      <c r="EM17" s="54" t="s">
        <v>38</v>
      </c>
      <c r="EN17" s="54" t="s">
        <v>38</v>
      </c>
      <c r="EO17" s="54" t="s">
        <v>38</v>
      </c>
      <c r="EP17" s="54" t="s">
        <v>124</v>
      </c>
      <c r="EQ17" s="54" t="s">
        <v>38</v>
      </c>
      <c r="ER17" s="54" t="s">
        <v>38</v>
      </c>
      <c r="ES17" s="54" t="s">
        <v>38</v>
      </c>
      <c r="ET17" s="54" t="s">
        <v>38</v>
      </c>
      <c r="EU17" s="54" t="s">
        <v>38</v>
      </c>
      <c r="EV17" s="54" t="s">
        <v>38</v>
      </c>
      <c r="EW17" s="54" t="s">
        <v>38</v>
      </c>
      <c r="EX17" s="54" t="s">
        <v>38</v>
      </c>
      <c r="EY17" s="54" t="s">
        <v>38</v>
      </c>
      <c r="EZ17" s="54" t="s">
        <v>38</v>
      </c>
      <c r="FA17" s="54" t="s">
        <v>38</v>
      </c>
      <c r="FB17" s="54" t="s">
        <v>38</v>
      </c>
      <c r="FC17" s="54" t="s">
        <v>38</v>
      </c>
      <c r="FD17" s="54" t="s">
        <v>38</v>
      </c>
      <c r="FE17" s="54" t="s">
        <v>38</v>
      </c>
      <c r="FF17" s="54" t="s">
        <v>38</v>
      </c>
      <c r="FG17" s="54" t="s">
        <v>38</v>
      </c>
      <c r="FH17" s="54" t="s">
        <v>38</v>
      </c>
      <c r="FI17" s="54" t="s">
        <v>38</v>
      </c>
      <c r="FJ17" s="54" t="s">
        <v>38</v>
      </c>
      <c r="FK17" s="54" t="s">
        <v>38</v>
      </c>
      <c r="FL17" s="54" t="s">
        <v>38</v>
      </c>
      <c r="FM17" s="54" t="s">
        <v>38</v>
      </c>
      <c r="FN17" s="54" t="s">
        <v>38</v>
      </c>
      <c r="FO17" s="54" t="s">
        <v>38</v>
      </c>
      <c r="FP17" s="54" t="s">
        <v>38</v>
      </c>
      <c r="FQ17" s="54" t="s">
        <v>38</v>
      </c>
      <c r="FR17" s="54" t="s">
        <v>38</v>
      </c>
      <c r="FS17" s="54" t="s">
        <v>38</v>
      </c>
      <c r="FT17" s="54" t="s">
        <v>38</v>
      </c>
      <c r="FU17" s="54" t="s">
        <v>38</v>
      </c>
      <c r="FV17" s="54" t="s">
        <v>38</v>
      </c>
      <c r="FW17" s="54" t="s">
        <v>38</v>
      </c>
      <c r="FX17" s="54" t="s">
        <v>38</v>
      </c>
      <c r="FY17" s="54" t="s">
        <v>38</v>
      </c>
      <c r="FZ17" s="54" t="s">
        <v>38</v>
      </c>
      <c r="GA17" s="54" t="s">
        <v>38</v>
      </c>
      <c r="GB17" s="54" t="s">
        <v>38</v>
      </c>
      <c r="GC17" s="54" t="s">
        <v>38</v>
      </c>
      <c r="GD17" s="54" t="s">
        <v>38</v>
      </c>
      <c r="GE17" s="54" t="s">
        <v>38</v>
      </c>
      <c r="GF17" s="54" t="s">
        <v>38</v>
      </c>
      <c r="GG17" s="54" t="s">
        <v>38</v>
      </c>
      <c r="GH17" s="54" t="s">
        <v>38</v>
      </c>
      <c r="GI17" s="54" t="s">
        <v>38</v>
      </c>
      <c r="GJ17" s="54" t="s">
        <v>38</v>
      </c>
      <c r="GK17" s="54" t="s">
        <v>38</v>
      </c>
      <c r="GL17" s="54" t="s">
        <v>38</v>
      </c>
      <c r="GM17" s="54" t="s">
        <v>38</v>
      </c>
      <c r="GN17" s="54" t="s">
        <v>38</v>
      </c>
      <c r="GO17" s="54" t="s">
        <v>38</v>
      </c>
      <c r="GP17" s="54" t="s">
        <v>38</v>
      </c>
      <c r="GQ17" s="54" t="s">
        <v>38</v>
      </c>
      <c r="GR17" s="54" t="s">
        <v>38</v>
      </c>
      <c r="GS17" s="54" t="s">
        <v>38</v>
      </c>
      <c r="GT17" s="54" t="s">
        <v>38</v>
      </c>
      <c r="GU17" s="54" t="s">
        <v>38</v>
      </c>
      <c r="GV17" s="54" t="s">
        <v>38</v>
      </c>
    </row>
    <row r="18">
      <c r="A18" s="57" t="s">
        <v>685</v>
      </c>
      <c r="D18" s="53" t="str">
        <f t="array" ref="D18">IF('Wątki'!B19=$A$1,INDIRECT("Klasa"),IF('Wątki'!B19=$A$2,INDIRECT("Grupa"),IF('Wątki'!B19=$A$3,INDIRECT("Postać"),"Nie")))</f>
        <v>Nie</v>
      </c>
      <c r="E18" s="53"/>
      <c r="F18" s="54" t="s">
        <v>39</v>
      </c>
      <c r="G18" s="54" t="s">
        <v>39</v>
      </c>
      <c r="H18" s="54" t="s">
        <v>39</v>
      </c>
      <c r="I18" s="54"/>
      <c r="J18" s="54" t="s">
        <v>39</v>
      </c>
      <c r="K18" s="54" t="s">
        <v>39</v>
      </c>
      <c r="L18" s="54" t="s">
        <v>39</v>
      </c>
      <c r="M18" s="54" t="s">
        <v>39</v>
      </c>
      <c r="N18" s="54" t="s">
        <v>39</v>
      </c>
      <c r="O18" s="54" t="s">
        <v>39</v>
      </c>
      <c r="P18" s="54" t="s">
        <v>39</v>
      </c>
      <c r="Q18" s="54" t="s">
        <v>39</v>
      </c>
      <c r="R18" s="54" t="s">
        <v>39</v>
      </c>
      <c r="S18" s="54" t="s">
        <v>39</v>
      </c>
      <c r="T18" s="54" t="s">
        <v>39</v>
      </c>
      <c r="U18" s="54" t="s">
        <v>39</v>
      </c>
      <c r="V18" s="54" t="s">
        <v>126</v>
      </c>
      <c r="W18" s="54" t="s">
        <v>39</v>
      </c>
      <c r="X18" s="54" t="s">
        <v>39</v>
      </c>
      <c r="Y18" s="54" t="s">
        <v>39</v>
      </c>
      <c r="Z18" s="54" t="s">
        <v>39</v>
      </c>
      <c r="AA18" s="54"/>
      <c r="AB18" s="54" t="s">
        <v>39</v>
      </c>
      <c r="AC18" s="54" t="s">
        <v>39</v>
      </c>
      <c r="AD18" s="54" t="s">
        <v>39</v>
      </c>
      <c r="AE18" s="54" t="s">
        <v>39</v>
      </c>
      <c r="AF18" s="54" t="s">
        <v>39</v>
      </c>
      <c r="AG18" s="54" t="s">
        <v>39</v>
      </c>
      <c r="AH18" s="54" t="s">
        <v>39</v>
      </c>
      <c r="AI18" s="54" t="s">
        <v>39</v>
      </c>
      <c r="AJ18" s="54" t="s">
        <v>39</v>
      </c>
      <c r="AK18" s="54" t="s">
        <v>39</v>
      </c>
      <c r="AL18" s="54" t="s">
        <v>126</v>
      </c>
      <c r="AM18" s="54" t="s">
        <v>39</v>
      </c>
      <c r="AN18" s="54" t="s">
        <v>39</v>
      </c>
      <c r="AO18" s="54" t="s">
        <v>39</v>
      </c>
      <c r="AP18" s="54" t="s">
        <v>39</v>
      </c>
      <c r="AQ18" s="54" t="s">
        <v>39</v>
      </c>
      <c r="AR18" s="54" t="s">
        <v>39</v>
      </c>
      <c r="AS18" s="54" t="s">
        <v>39</v>
      </c>
      <c r="AT18" s="54" t="s">
        <v>39</v>
      </c>
      <c r="AU18" s="54" t="s">
        <v>39</v>
      </c>
      <c r="AV18" s="54" t="s">
        <v>126</v>
      </c>
      <c r="AW18" s="54" t="s">
        <v>39</v>
      </c>
      <c r="AX18" s="54" t="s">
        <v>126</v>
      </c>
      <c r="AY18" s="54" t="s">
        <v>126</v>
      </c>
      <c r="AZ18" s="54" t="s">
        <v>126</v>
      </c>
      <c r="BA18" s="54" t="s">
        <v>126</v>
      </c>
      <c r="BB18" s="54" t="s">
        <v>126</v>
      </c>
      <c r="BC18" s="54" t="s">
        <v>126</v>
      </c>
      <c r="BD18" s="54" t="s">
        <v>126</v>
      </c>
      <c r="BE18" s="54" t="s">
        <v>126</v>
      </c>
      <c r="BF18" s="54" t="s">
        <v>126</v>
      </c>
      <c r="BG18" s="54" t="s">
        <v>126</v>
      </c>
      <c r="BH18" s="54" t="s">
        <v>126</v>
      </c>
      <c r="BI18" s="54" t="s">
        <v>126</v>
      </c>
      <c r="BJ18" s="54" t="s">
        <v>126</v>
      </c>
      <c r="BK18" s="54" t="s">
        <v>126</v>
      </c>
      <c r="BL18" s="54" t="s">
        <v>126</v>
      </c>
      <c r="BM18" s="54" t="s">
        <v>126</v>
      </c>
      <c r="BN18" s="54" t="s">
        <v>126</v>
      </c>
      <c r="BO18" s="54" t="s">
        <v>126</v>
      </c>
      <c r="BP18" s="54" t="s">
        <v>126</v>
      </c>
      <c r="BQ18" s="54" t="s">
        <v>39</v>
      </c>
      <c r="BR18" s="54" t="s">
        <v>39</v>
      </c>
      <c r="BS18" s="54" t="s">
        <v>39</v>
      </c>
      <c r="BT18" s="54" t="s">
        <v>126</v>
      </c>
      <c r="BU18" s="54" t="s">
        <v>39</v>
      </c>
      <c r="BV18" s="54" t="s">
        <v>39</v>
      </c>
      <c r="BW18" s="54" t="s">
        <v>126</v>
      </c>
      <c r="BX18" s="54" t="s">
        <v>39</v>
      </c>
      <c r="BY18" s="54" t="s">
        <v>39</v>
      </c>
      <c r="BZ18" s="54" t="s">
        <v>39</v>
      </c>
      <c r="CA18" s="54" t="s">
        <v>39</v>
      </c>
      <c r="CB18" s="54" t="s">
        <v>39</v>
      </c>
      <c r="CC18" s="54" t="s">
        <v>39</v>
      </c>
      <c r="CD18" s="54" t="s">
        <v>39</v>
      </c>
      <c r="CE18" s="54" t="s">
        <v>39</v>
      </c>
      <c r="CF18" s="54" t="s">
        <v>126</v>
      </c>
      <c r="CG18" s="54" t="s">
        <v>39</v>
      </c>
      <c r="CH18" s="54" t="s">
        <v>39</v>
      </c>
      <c r="CI18" s="54" t="s">
        <v>39</v>
      </c>
      <c r="CJ18" s="54" t="s">
        <v>39</v>
      </c>
      <c r="CK18" s="54" t="s">
        <v>39</v>
      </c>
      <c r="CL18" s="54" t="s">
        <v>39</v>
      </c>
      <c r="CM18" s="54" t="s">
        <v>126</v>
      </c>
      <c r="CN18" s="54"/>
      <c r="CO18" s="54" t="s">
        <v>39</v>
      </c>
      <c r="CP18" s="54" t="s">
        <v>39</v>
      </c>
      <c r="CQ18" s="54" t="s">
        <v>39</v>
      </c>
      <c r="CR18" s="54" t="s">
        <v>39</v>
      </c>
      <c r="CS18" s="54" t="s">
        <v>126</v>
      </c>
      <c r="CT18" s="54" t="s">
        <v>126</v>
      </c>
      <c r="CU18" s="54" t="s">
        <v>39</v>
      </c>
      <c r="CV18" s="54" t="s">
        <v>126</v>
      </c>
      <c r="CW18" s="54" t="s">
        <v>39</v>
      </c>
      <c r="CX18" s="54" t="s">
        <v>39</v>
      </c>
      <c r="CY18" s="54" t="s">
        <v>39</v>
      </c>
      <c r="CZ18" s="54"/>
      <c r="DA18" s="54" t="s">
        <v>39</v>
      </c>
      <c r="DB18" s="54" t="s">
        <v>39</v>
      </c>
      <c r="DC18" s="54" t="s">
        <v>126</v>
      </c>
      <c r="DD18" s="54" t="s">
        <v>126</v>
      </c>
      <c r="DE18" s="54" t="s">
        <v>126</v>
      </c>
      <c r="DF18" s="54" t="s">
        <v>39</v>
      </c>
      <c r="DG18" s="54" t="s">
        <v>39</v>
      </c>
      <c r="DH18" s="54" t="s">
        <v>39</v>
      </c>
      <c r="DI18" s="54" t="s">
        <v>39</v>
      </c>
      <c r="DJ18" s="54" t="s">
        <v>39</v>
      </c>
      <c r="DK18" s="54" t="s">
        <v>126</v>
      </c>
      <c r="DL18" s="54" t="s">
        <v>126</v>
      </c>
      <c r="DM18" s="54" t="s">
        <v>126</v>
      </c>
      <c r="DN18" s="54" t="s">
        <v>39</v>
      </c>
      <c r="DO18" s="54" t="s">
        <v>39</v>
      </c>
      <c r="DP18" s="54" t="s">
        <v>39</v>
      </c>
      <c r="DQ18" s="54" t="s">
        <v>126</v>
      </c>
      <c r="DR18" s="54" t="s">
        <v>39</v>
      </c>
      <c r="DS18" s="54" t="s">
        <v>39</v>
      </c>
      <c r="DT18" s="54" t="s">
        <v>39</v>
      </c>
      <c r="DU18" s="54" t="s">
        <v>39</v>
      </c>
      <c r="DV18" s="54" t="s">
        <v>39</v>
      </c>
      <c r="DW18" s="54" t="s">
        <v>126</v>
      </c>
      <c r="DX18" s="54"/>
      <c r="DY18" s="54" t="s">
        <v>126</v>
      </c>
      <c r="DZ18" s="54"/>
      <c r="EA18" s="54"/>
      <c r="EB18" s="54"/>
      <c r="EC18" s="54"/>
      <c r="ED18" s="54"/>
      <c r="EE18" s="54" t="s">
        <v>39</v>
      </c>
      <c r="EF18" s="54" t="s">
        <v>39</v>
      </c>
      <c r="EG18" s="54" t="s">
        <v>39</v>
      </c>
      <c r="EH18" s="54" t="s">
        <v>39</v>
      </c>
      <c r="EI18" s="54" t="s">
        <v>39</v>
      </c>
      <c r="EJ18" s="54" t="s">
        <v>39</v>
      </c>
      <c r="EK18" s="54" t="s">
        <v>39</v>
      </c>
      <c r="EL18" s="54" t="s">
        <v>39</v>
      </c>
      <c r="EM18" s="54" t="s">
        <v>39</v>
      </c>
      <c r="EN18" s="54" t="s">
        <v>39</v>
      </c>
      <c r="EO18" s="54" t="s">
        <v>39</v>
      </c>
      <c r="EP18" s="54" t="s">
        <v>126</v>
      </c>
      <c r="EQ18" s="54" t="s">
        <v>39</v>
      </c>
      <c r="ER18" s="54" t="s">
        <v>39</v>
      </c>
      <c r="ES18" s="54" t="s">
        <v>39</v>
      </c>
      <c r="ET18" s="54" t="s">
        <v>39</v>
      </c>
      <c r="EU18" s="54" t="s">
        <v>39</v>
      </c>
      <c r="EV18" s="54" t="s">
        <v>39</v>
      </c>
      <c r="EW18" s="54" t="s">
        <v>39</v>
      </c>
      <c r="EX18" s="54" t="s">
        <v>39</v>
      </c>
      <c r="EY18" s="54" t="s">
        <v>39</v>
      </c>
      <c r="EZ18" s="54" t="s">
        <v>39</v>
      </c>
      <c r="FA18" s="54" t="s">
        <v>39</v>
      </c>
      <c r="FB18" s="54" t="s">
        <v>39</v>
      </c>
      <c r="FC18" s="54" t="s">
        <v>39</v>
      </c>
      <c r="FD18" s="54" t="s">
        <v>39</v>
      </c>
      <c r="FE18" s="54" t="s">
        <v>39</v>
      </c>
      <c r="FF18" s="54" t="s">
        <v>39</v>
      </c>
      <c r="FG18" s="54" t="s">
        <v>39</v>
      </c>
      <c r="FH18" s="54" t="s">
        <v>39</v>
      </c>
      <c r="FI18" s="54" t="s">
        <v>39</v>
      </c>
      <c r="FJ18" s="54" t="s">
        <v>39</v>
      </c>
      <c r="FK18" s="54" t="s">
        <v>39</v>
      </c>
      <c r="FL18" s="54" t="s">
        <v>39</v>
      </c>
      <c r="FM18" s="54" t="s">
        <v>39</v>
      </c>
      <c r="FN18" s="54" t="s">
        <v>39</v>
      </c>
      <c r="FO18" s="54" t="s">
        <v>39</v>
      </c>
      <c r="FP18" s="54" t="s">
        <v>39</v>
      </c>
      <c r="FQ18" s="54" t="s">
        <v>39</v>
      </c>
      <c r="FR18" s="54" t="s">
        <v>39</v>
      </c>
      <c r="FS18" s="54" t="s">
        <v>39</v>
      </c>
      <c r="FT18" s="54" t="s">
        <v>39</v>
      </c>
      <c r="FU18" s="54" t="s">
        <v>39</v>
      </c>
      <c r="FV18" s="54" t="s">
        <v>39</v>
      </c>
      <c r="FW18" s="54" t="s">
        <v>39</v>
      </c>
      <c r="FX18" s="54" t="s">
        <v>39</v>
      </c>
      <c r="FY18" s="54" t="s">
        <v>39</v>
      </c>
      <c r="FZ18" s="54" t="s">
        <v>39</v>
      </c>
      <c r="GA18" s="54" t="s">
        <v>39</v>
      </c>
      <c r="GB18" s="54" t="s">
        <v>39</v>
      </c>
      <c r="GC18" s="54" t="s">
        <v>39</v>
      </c>
      <c r="GD18" s="54" t="s">
        <v>39</v>
      </c>
      <c r="GE18" s="54" t="s">
        <v>39</v>
      </c>
      <c r="GF18" s="54" t="s">
        <v>39</v>
      </c>
      <c r="GG18" s="54" t="s">
        <v>39</v>
      </c>
      <c r="GH18" s="54" t="s">
        <v>39</v>
      </c>
      <c r="GI18" s="54" t="s">
        <v>39</v>
      </c>
      <c r="GJ18" s="54" t="s">
        <v>39</v>
      </c>
      <c r="GK18" s="54" t="s">
        <v>39</v>
      </c>
      <c r="GL18" s="54" t="s">
        <v>39</v>
      </c>
      <c r="GM18" s="54" t="s">
        <v>39</v>
      </c>
      <c r="GN18" s="54" t="s">
        <v>39</v>
      </c>
      <c r="GO18" s="54" t="s">
        <v>39</v>
      </c>
      <c r="GP18" s="54" t="s">
        <v>39</v>
      </c>
      <c r="GQ18" s="54" t="s">
        <v>39</v>
      </c>
      <c r="GR18" s="54" t="s">
        <v>39</v>
      </c>
      <c r="GS18" s="54" t="s">
        <v>39</v>
      </c>
      <c r="GT18" s="54" t="s">
        <v>39</v>
      </c>
      <c r="GU18" s="54" t="s">
        <v>39</v>
      </c>
      <c r="GV18" s="54" t="s">
        <v>39</v>
      </c>
    </row>
    <row r="19">
      <c r="A19" s="57" t="s">
        <v>686</v>
      </c>
      <c r="D19" s="53" t="str">
        <f t="array" ref="D19">IF('Wątki'!B20=$A$1,INDIRECT("Klasa"),IF('Wątki'!B20=$A$2,INDIRECT("Grupa"),IF('Wątki'!B20=$A$3,INDIRECT("Postać"),"Nie")))</f>
        <v>Nie</v>
      </c>
      <c r="E19" s="53"/>
      <c r="F19" s="54" t="s">
        <v>40</v>
      </c>
      <c r="G19" s="54" t="s">
        <v>40</v>
      </c>
      <c r="H19" s="54" t="s">
        <v>40</v>
      </c>
      <c r="I19" s="54"/>
      <c r="J19" s="54" t="s">
        <v>40</v>
      </c>
      <c r="K19" s="54" t="s">
        <v>40</v>
      </c>
      <c r="L19" s="54" t="s">
        <v>40</v>
      </c>
      <c r="M19" s="54" t="s">
        <v>40</v>
      </c>
      <c r="N19" s="54" t="s">
        <v>40</v>
      </c>
      <c r="O19" s="54" t="s">
        <v>40</v>
      </c>
      <c r="P19" s="54" t="s">
        <v>40</v>
      </c>
      <c r="Q19" s="54" t="s">
        <v>40</v>
      </c>
      <c r="R19" s="54" t="s">
        <v>40</v>
      </c>
      <c r="S19" s="54" t="s">
        <v>40</v>
      </c>
      <c r="T19" s="54" t="s">
        <v>40</v>
      </c>
      <c r="U19" s="54" t="s">
        <v>40</v>
      </c>
      <c r="V19" s="54" t="s">
        <v>128</v>
      </c>
      <c r="W19" s="54" t="s">
        <v>40</v>
      </c>
      <c r="X19" s="54" t="s">
        <v>40</v>
      </c>
      <c r="Y19" s="54" t="s">
        <v>40</v>
      </c>
      <c r="Z19" s="54" t="s">
        <v>40</v>
      </c>
      <c r="AA19" s="54"/>
      <c r="AB19" s="54" t="s">
        <v>40</v>
      </c>
      <c r="AC19" s="54" t="s">
        <v>40</v>
      </c>
      <c r="AD19" s="54" t="s">
        <v>40</v>
      </c>
      <c r="AE19" s="54" t="s">
        <v>40</v>
      </c>
      <c r="AF19" s="54" t="s">
        <v>40</v>
      </c>
      <c r="AG19" s="54" t="s">
        <v>40</v>
      </c>
      <c r="AH19" s="54" t="s">
        <v>40</v>
      </c>
      <c r="AI19" s="54" t="s">
        <v>40</v>
      </c>
      <c r="AJ19" s="54" t="s">
        <v>40</v>
      </c>
      <c r="AK19" s="54" t="s">
        <v>40</v>
      </c>
      <c r="AL19" s="54" t="s">
        <v>128</v>
      </c>
      <c r="AM19" s="54" t="s">
        <v>40</v>
      </c>
      <c r="AN19" s="54" t="s">
        <v>40</v>
      </c>
      <c r="AO19" s="54" t="s">
        <v>40</v>
      </c>
      <c r="AP19" s="54" t="s">
        <v>40</v>
      </c>
      <c r="AQ19" s="54" t="s">
        <v>40</v>
      </c>
      <c r="AR19" s="54" t="s">
        <v>40</v>
      </c>
      <c r="AS19" s="54" t="s">
        <v>40</v>
      </c>
      <c r="AT19" s="54" t="s">
        <v>40</v>
      </c>
      <c r="AU19" s="54" t="s">
        <v>40</v>
      </c>
      <c r="AV19" s="54" t="s">
        <v>128</v>
      </c>
      <c r="AW19" s="54" t="s">
        <v>40</v>
      </c>
      <c r="AX19" s="54" t="s">
        <v>128</v>
      </c>
      <c r="AY19" s="54" t="s">
        <v>128</v>
      </c>
      <c r="AZ19" s="54" t="s">
        <v>128</v>
      </c>
      <c r="BA19" s="54" t="s">
        <v>128</v>
      </c>
      <c r="BB19" s="54" t="s">
        <v>128</v>
      </c>
      <c r="BC19" s="54" t="s">
        <v>128</v>
      </c>
      <c r="BD19" s="54" t="s">
        <v>128</v>
      </c>
      <c r="BE19" s="54" t="s">
        <v>128</v>
      </c>
      <c r="BF19" s="54" t="s">
        <v>128</v>
      </c>
      <c r="BG19" s="54" t="s">
        <v>128</v>
      </c>
      <c r="BH19" s="54" t="s">
        <v>128</v>
      </c>
      <c r="BI19" s="54" t="s">
        <v>128</v>
      </c>
      <c r="BJ19" s="54" t="s">
        <v>128</v>
      </c>
      <c r="BK19" s="54" t="s">
        <v>128</v>
      </c>
      <c r="BL19" s="54" t="s">
        <v>128</v>
      </c>
      <c r="BM19" s="54" t="s">
        <v>128</v>
      </c>
      <c r="BN19" s="54" t="s">
        <v>128</v>
      </c>
      <c r="BO19" s="54" t="s">
        <v>128</v>
      </c>
      <c r="BP19" s="54" t="s">
        <v>128</v>
      </c>
      <c r="BQ19" s="54" t="s">
        <v>40</v>
      </c>
      <c r="BR19" s="54" t="s">
        <v>40</v>
      </c>
      <c r="BS19" s="54" t="s">
        <v>40</v>
      </c>
      <c r="BT19" s="54" t="s">
        <v>128</v>
      </c>
      <c r="BU19" s="54" t="s">
        <v>40</v>
      </c>
      <c r="BV19" s="54" t="s">
        <v>40</v>
      </c>
      <c r="BW19" s="54" t="s">
        <v>128</v>
      </c>
      <c r="BX19" s="54" t="s">
        <v>40</v>
      </c>
      <c r="BY19" s="54" t="s">
        <v>40</v>
      </c>
      <c r="BZ19" s="54" t="s">
        <v>40</v>
      </c>
      <c r="CA19" s="54" t="s">
        <v>40</v>
      </c>
      <c r="CB19" s="54" t="s">
        <v>40</v>
      </c>
      <c r="CC19" s="54" t="s">
        <v>40</v>
      </c>
      <c r="CD19" s="54" t="s">
        <v>40</v>
      </c>
      <c r="CE19" s="54" t="s">
        <v>40</v>
      </c>
      <c r="CF19" s="54" t="s">
        <v>128</v>
      </c>
      <c r="CG19" s="54" t="s">
        <v>40</v>
      </c>
      <c r="CH19" s="54" t="s">
        <v>40</v>
      </c>
      <c r="CI19" s="54" t="s">
        <v>40</v>
      </c>
      <c r="CJ19" s="54" t="s">
        <v>40</v>
      </c>
      <c r="CK19" s="54" t="s">
        <v>40</v>
      </c>
      <c r="CL19" s="54" t="s">
        <v>40</v>
      </c>
      <c r="CM19" s="54" t="s">
        <v>128</v>
      </c>
      <c r="CN19" s="54"/>
      <c r="CO19" s="54" t="s">
        <v>40</v>
      </c>
      <c r="CP19" s="54" t="s">
        <v>40</v>
      </c>
      <c r="CQ19" s="54" t="s">
        <v>40</v>
      </c>
      <c r="CR19" s="54" t="s">
        <v>40</v>
      </c>
      <c r="CS19" s="54" t="s">
        <v>128</v>
      </c>
      <c r="CT19" s="54" t="s">
        <v>128</v>
      </c>
      <c r="CU19" s="54" t="s">
        <v>40</v>
      </c>
      <c r="CV19" s="54" t="s">
        <v>128</v>
      </c>
      <c r="CW19" s="54" t="s">
        <v>40</v>
      </c>
      <c r="CX19" s="54" t="s">
        <v>40</v>
      </c>
      <c r="CY19" s="54" t="s">
        <v>40</v>
      </c>
      <c r="CZ19" s="54"/>
      <c r="DA19" s="54" t="s">
        <v>40</v>
      </c>
      <c r="DB19" s="54" t="s">
        <v>40</v>
      </c>
      <c r="DC19" s="54" t="s">
        <v>128</v>
      </c>
      <c r="DD19" s="54" t="s">
        <v>128</v>
      </c>
      <c r="DE19" s="54" t="s">
        <v>128</v>
      </c>
      <c r="DF19" s="54" t="s">
        <v>40</v>
      </c>
      <c r="DG19" s="54" t="s">
        <v>40</v>
      </c>
      <c r="DH19" s="54" t="s">
        <v>40</v>
      </c>
      <c r="DI19" s="54" t="s">
        <v>40</v>
      </c>
      <c r="DJ19" s="54" t="s">
        <v>40</v>
      </c>
      <c r="DK19" s="54" t="s">
        <v>128</v>
      </c>
      <c r="DL19" s="54" t="s">
        <v>128</v>
      </c>
      <c r="DM19" s="54" t="s">
        <v>128</v>
      </c>
      <c r="DN19" s="54" t="s">
        <v>40</v>
      </c>
      <c r="DO19" s="54" t="s">
        <v>40</v>
      </c>
      <c r="DP19" s="54" t="s">
        <v>40</v>
      </c>
      <c r="DQ19" s="54" t="s">
        <v>128</v>
      </c>
      <c r="DR19" s="54" t="s">
        <v>40</v>
      </c>
      <c r="DS19" s="54" t="s">
        <v>40</v>
      </c>
      <c r="DT19" s="54" t="s">
        <v>40</v>
      </c>
      <c r="DU19" s="54" t="s">
        <v>40</v>
      </c>
      <c r="DV19" s="54" t="s">
        <v>40</v>
      </c>
      <c r="DW19" s="54" t="s">
        <v>128</v>
      </c>
      <c r="DX19" s="54"/>
      <c r="DY19" s="54" t="s">
        <v>128</v>
      </c>
      <c r="DZ19" s="54"/>
      <c r="EA19" s="54"/>
      <c r="EB19" s="54"/>
      <c r="EC19" s="54"/>
      <c r="ED19" s="54"/>
      <c r="EE19" s="54" t="s">
        <v>40</v>
      </c>
      <c r="EF19" s="54" t="s">
        <v>40</v>
      </c>
      <c r="EG19" s="54" t="s">
        <v>40</v>
      </c>
      <c r="EH19" s="54" t="s">
        <v>40</v>
      </c>
      <c r="EI19" s="54" t="s">
        <v>40</v>
      </c>
      <c r="EJ19" s="54" t="s">
        <v>40</v>
      </c>
      <c r="EK19" s="54" t="s">
        <v>40</v>
      </c>
      <c r="EL19" s="54" t="s">
        <v>40</v>
      </c>
      <c r="EM19" s="54" t="s">
        <v>40</v>
      </c>
      <c r="EN19" s="54" t="s">
        <v>40</v>
      </c>
      <c r="EO19" s="54" t="s">
        <v>40</v>
      </c>
      <c r="EP19" s="54" t="s">
        <v>128</v>
      </c>
      <c r="EQ19" s="54" t="s">
        <v>40</v>
      </c>
      <c r="ER19" s="54" t="s">
        <v>40</v>
      </c>
      <c r="ES19" s="54" t="s">
        <v>40</v>
      </c>
      <c r="ET19" s="54" t="s">
        <v>40</v>
      </c>
      <c r="EU19" s="54" t="s">
        <v>40</v>
      </c>
      <c r="EV19" s="54" t="s">
        <v>40</v>
      </c>
      <c r="EW19" s="54" t="s">
        <v>40</v>
      </c>
      <c r="EX19" s="54" t="s">
        <v>40</v>
      </c>
      <c r="EY19" s="54" t="s">
        <v>40</v>
      </c>
      <c r="EZ19" s="54" t="s">
        <v>40</v>
      </c>
      <c r="FA19" s="54" t="s">
        <v>40</v>
      </c>
      <c r="FB19" s="54" t="s">
        <v>40</v>
      </c>
      <c r="FC19" s="54" t="s">
        <v>40</v>
      </c>
      <c r="FD19" s="54" t="s">
        <v>40</v>
      </c>
      <c r="FE19" s="54" t="s">
        <v>40</v>
      </c>
      <c r="FF19" s="54" t="s">
        <v>40</v>
      </c>
      <c r="FG19" s="54" t="s">
        <v>40</v>
      </c>
      <c r="FH19" s="54" t="s">
        <v>40</v>
      </c>
      <c r="FI19" s="54" t="s">
        <v>40</v>
      </c>
      <c r="FJ19" s="54" t="s">
        <v>40</v>
      </c>
      <c r="FK19" s="54" t="s">
        <v>40</v>
      </c>
      <c r="FL19" s="54" t="s">
        <v>40</v>
      </c>
      <c r="FM19" s="54" t="s">
        <v>40</v>
      </c>
      <c r="FN19" s="54" t="s">
        <v>40</v>
      </c>
      <c r="FO19" s="54" t="s">
        <v>40</v>
      </c>
      <c r="FP19" s="54" t="s">
        <v>40</v>
      </c>
      <c r="FQ19" s="54" t="s">
        <v>40</v>
      </c>
      <c r="FR19" s="54" t="s">
        <v>40</v>
      </c>
      <c r="FS19" s="54" t="s">
        <v>40</v>
      </c>
      <c r="FT19" s="54" t="s">
        <v>40</v>
      </c>
      <c r="FU19" s="54" t="s">
        <v>40</v>
      </c>
      <c r="FV19" s="54" t="s">
        <v>40</v>
      </c>
      <c r="FW19" s="54" t="s">
        <v>40</v>
      </c>
      <c r="FX19" s="54" t="s">
        <v>40</v>
      </c>
      <c r="FY19" s="54" t="s">
        <v>40</v>
      </c>
      <c r="FZ19" s="54" t="s">
        <v>40</v>
      </c>
      <c r="GA19" s="54" t="s">
        <v>40</v>
      </c>
      <c r="GB19" s="54" t="s">
        <v>40</v>
      </c>
      <c r="GC19" s="54" t="s">
        <v>40</v>
      </c>
      <c r="GD19" s="54" t="s">
        <v>40</v>
      </c>
      <c r="GE19" s="54" t="s">
        <v>40</v>
      </c>
      <c r="GF19" s="54" t="s">
        <v>40</v>
      </c>
      <c r="GG19" s="54" t="s">
        <v>40</v>
      </c>
      <c r="GH19" s="54" t="s">
        <v>40</v>
      </c>
      <c r="GI19" s="54" t="s">
        <v>40</v>
      </c>
      <c r="GJ19" s="54" t="s">
        <v>40</v>
      </c>
      <c r="GK19" s="54" t="s">
        <v>40</v>
      </c>
      <c r="GL19" s="54" t="s">
        <v>40</v>
      </c>
      <c r="GM19" s="54" t="s">
        <v>40</v>
      </c>
      <c r="GN19" s="54" t="s">
        <v>40</v>
      </c>
      <c r="GO19" s="54" t="s">
        <v>40</v>
      </c>
      <c r="GP19" s="54" t="s">
        <v>40</v>
      </c>
      <c r="GQ19" s="54" t="s">
        <v>40</v>
      </c>
      <c r="GR19" s="54" t="s">
        <v>40</v>
      </c>
      <c r="GS19" s="54" t="s">
        <v>40</v>
      </c>
      <c r="GT19" s="54" t="s">
        <v>40</v>
      </c>
      <c r="GU19" s="54" t="s">
        <v>40</v>
      </c>
      <c r="GV19" s="54" t="s">
        <v>40</v>
      </c>
    </row>
    <row r="20">
      <c r="A20" s="57" t="s">
        <v>687</v>
      </c>
      <c r="D20" s="53" t="str">
        <f t="array" ref="D20">IF('Wątki'!B22=$A$1,INDIRECT("Klasa"),IF('Wątki'!B22=$A$2,INDIRECT("Grupa"),IF('Wątki'!B22=$A$3,INDIRECT("Postać"),"Nie")))</f>
        <v>Nie</v>
      </c>
      <c r="E20" s="53"/>
      <c r="F20" s="54" t="s">
        <v>42</v>
      </c>
      <c r="G20" s="54" t="s">
        <v>42</v>
      </c>
      <c r="H20" s="54" t="s">
        <v>42</v>
      </c>
      <c r="I20" s="54"/>
      <c r="J20" s="54" t="s">
        <v>42</v>
      </c>
      <c r="K20" s="54" t="s">
        <v>42</v>
      </c>
      <c r="L20" s="54" t="s">
        <v>42</v>
      </c>
      <c r="M20" s="54" t="s">
        <v>42</v>
      </c>
      <c r="N20" s="54" t="s">
        <v>42</v>
      </c>
      <c r="O20" s="54" t="s">
        <v>42</v>
      </c>
      <c r="P20" s="54" t="s">
        <v>42</v>
      </c>
      <c r="Q20" s="54" t="s">
        <v>42</v>
      </c>
      <c r="R20" s="54" t="s">
        <v>42</v>
      </c>
      <c r="S20" s="54" t="s">
        <v>42</v>
      </c>
      <c r="T20" s="54" t="s">
        <v>42</v>
      </c>
      <c r="U20" s="54" t="s">
        <v>42</v>
      </c>
      <c r="V20" s="54" t="s">
        <v>130</v>
      </c>
      <c r="W20" s="54" t="s">
        <v>42</v>
      </c>
      <c r="X20" s="54" t="s">
        <v>42</v>
      </c>
      <c r="Y20" s="54" t="s">
        <v>42</v>
      </c>
      <c r="Z20" s="54" t="s">
        <v>42</v>
      </c>
      <c r="AA20" s="54"/>
      <c r="AB20" s="54" t="s">
        <v>42</v>
      </c>
      <c r="AC20" s="54" t="s">
        <v>42</v>
      </c>
      <c r="AD20" s="54" t="s">
        <v>42</v>
      </c>
      <c r="AE20" s="54" t="s">
        <v>42</v>
      </c>
      <c r="AF20" s="54" t="s">
        <v>42</v>
      </c>
      <c r="AG20" s="54" t="s">
        <v>42</v>
      </c>
      <c r="AH20" s="54" t="s">
        <v>42</v>
      </c>
      <c r="AI20" s="54" t="s">
        <v>42</v>
      </c>
      <c r="AJ20" s="54" t="s">
        <v>42</v>
      </c>
      <c r="AK20" s="54" t="s">
        <v>42</v>
      </c>
      <c r="AL20" s="54" t="s">
        <v>130</v>
      </c>
      <c r="AM20" s="54" t="s">
        <v>42</v>
      </c>
      <c r="AN20" s="54" t="s">
        <v>42</v>
      </c>
      <c r="AO20" s="54" t="s">
        <v>42</v>
      </c>
      <c r="AP20" s="54" t="s">
        <v>42</v>
      </c>
      <c r="AQ20" s="54" t="s">
        <v>42</v>
      </c>
      <c r="AR20" s="54" t="s">
        <v>42</v>
      </c>
      <c r="AS20" s="54" t="s">
        <v>42</v>
      </c>
      <c r="AT20" s="54" t="s">
        <v>42</v>
      </c>
      <c r="AU20" s="54" t="s">
        <v>42</v>
      </c>
      <c r="AV20" s="54" t="s">
        <v>130</v>
      </c>
      <c r="AW20" s="54" t="s">
        <v>42</v>
      </c>
      <c r="AX20" s="54" t="s">
        <v>130</v>
      </c>
      <c r="AY20" s="54" t="s">
        <v>130</v>
      </c>
      <c r="AZ20" s="54" t="s">
        <v>130</v>
      </c>
      <c r="BA20" s="54" t="s">
        <v>130</v>
      </c>
      <c r="BB20" s="54" t="s">
        <v>130</v>
      </c>
      <c r="BC20" s="54" t="s">
        <v>130</v>
      </c>
      <c r="BD20" s="54" t="s">
        <v>130</v>
      </c>
      <c r="BE20" s="54" t="s">
        <v>130</v>
      </c>
      <c r="BF20" s="54" t="s">
        <v>130</v>
      </c>
      <c r="BG20" s="54" t="s">
        <v>130</v>
      </c>
      <c r="BH20" s="54" t="s">
        <v>130</v>
      </c>
      <c r="BI20" s="54" t="s">
        <v>130</v>
      </c>
      <c r="BJ20" s="54" t="s">
        <v>130</v>
      </c>
      <c r="BK20" s="54" t="s">
        <v>130</v>
      </c>
      <c r="BL20" s="54" t="s">
        <v>130</v>
      </c>
      <c r="BM20" s="54" t="s">
        <v>130</v>
      </c>
      <c r="BN20" s="54" t="s">
        <v>130</v>
      </c>
      <c r="BO20" s="54" t="s">
        <v>130</v>
      </c>
      <c r="BP20" s="54" t="s">
        <v>130</v>
      </c>
      <c r="BQ20" s="54" t="s">
        <v>42</v>
      </c>
      <c r="BR20" s="54" t="s">
        <v>42</v>
      </c>
      <c r="BS20" s="54" t="s">
        <v>42</v>
      </c>
      <c r="BT20" s="54" t="s">
        <v>130</v>
      </c>
      <c r="BU20" s="54" t="s">
        <v>42</v>
      </c>
      <c r="BV20" s="54" t="s">
        <v>42</v>
      </c>
      <c r="BW20" s="54" t="s">
        <v>130</v>
      </c>
      <c r="BX20" s="54" t="s">
        <v>42</v>
      </c>
      <c r="BY20" s="54" t="s">
        <v>42</v>
      </c>
      <c r="BZ20" s="54" t="s">
        <v>42</v>
      </c>
      <c r="CA20" s="54" t="s">
        <v>42</v>
      </c>
      <c r="CB20" s="54" t="s">
        <v>42</v>
      </c>
      <c r="CC20" s="54" t="s">
        <v>42</v>
      </c>
      <c r="CD20" s="54" t="s">
        <v>42</v>
      </c>
      <c r="CE20" s="54" t="s">
        <v>42</v>
      </c>
      <c r="CF20" s="54" t="s">
        <v>130</v>
      </c>
      <c r="CG20" s="54" t="s">
        <v>42</v>
      </c>
      <c r="CH20" s="54" t="s">
        <v>42</v>
      </c>
      <c r="CI20" s="54" t="s">
        <v>42</v>
      </c>
      <c r="CJ20" s="54" t="s">
        <v>42</v>
      </c>
      <c r="CK20" s="54" t="s">
        <v>42</v>
      </c>
      <c r="CL20" s="54" t="s">
        <v>42</v>
      </c>
      <c r="CM20" s="54" t="s">
        <v>130</v>
      </c>
      <c r="CN20" s="54"/>
      <c r="CO20" s="54" t="s">
        <v>42</v>
      </c>
      <c r="CP20" s="54" t="s">
        <v>42</v>
      </c>
      <c r="CQ20" s="54" t="s">
        <v>42</v>
      </c>
      <c r="CR20" s="54" t="s">
        <v>42</v>
      </c>
      <c r="CS20" s="54" t="s">
        <v>130</v>
      </c>
      <c r="CT20" s="54" t="s">
        <v>130</v>
      </c>
      <c r="CU20" s="54" t="s">
        <v>42</v>
      </c>
      <c r="CV20" s="54" t="s">
        <v>130</v>
      </c>
      <c r="CW20" s="54" t="s">
        <v>42</v>
      </c>
      <c r="CX20" s="54" t="s">
        <v>42</v>
      </c>
      <c r="CY20" s="54" t="s">
        <v>42</v>
      </c>
      <c r="CZ20" s="54"/>
      <c r="DA20" s="54" t="s">
        <v>42</v>
      </c>
      <c r="DB20" s="54" t="s">
        <v>42</v>
      </c>
      <c r="DC20" s="54" t="s">
        <v>130</v>
      </c>
      <c r="DD20" s="54" t="s">
        <v>130</v>
      </c>
      <c r="DE20" s="54" t="s">
        <v>130</v>
      </c>
      <c r="DF20" s="54" t="s">
        <v>42</v>
      </c>
      <c r="DG20" s="54" t="s">
        <v>42</v>
      </c>
      <c r="DH20" s="54" t="s">
        <v>42</v>
      </c>
      <c r="DI20" s="54" t="s">
        <v>42</v>
      </c>
      <c r="DJ20" s="54" t="s">
        <v>42</v>
      </c>
      <c r="DK20" s="54" t="s">
        <v>130</v>
      </c>
      <c r="DL20" s="54" t="s">
        <v>130</v>
      </c>
      <c r="DM20" s="54" t="s">
        <v>130</v>
      </c>
      <c r="DN20" s="54" t="s">
        <v>42</v>
      </c>
      <c r="DO20" s="54" t="s">
        <v>42</v>
      </c>
      <c r="DP20" s="54" t="s">
        <v>42</v>
      </c>
      <c r="DQ20" s="54" t="s">
        <v>130</v>
      </c>
      <c r="DR20" s="54" t="s">
        <v>42</v>
      </c>
      <c r="DS20" s="54" t="s">
        <v>42</v>
      </c>
      <c r="DT20" s="54" t="s">
        <v>42</v>
      </c>
      <c r="DU20" s="54" t="s">
        <v>42</v>
      </c>
      <c r="DV20" s="54" t="s">
        <v>42</v>
      </c>
      <c r="DW20" s="54" t="s">
        <v>130</v>
      </c>
      <c r="DX20" s="54"/>
      <c r="DY20" s="54" t="s">
        <v>130</v>
      </c>
      <c r="DZ20" s="54"/>
      <c r="EA20" s="54"/>
      <c r="EB20" s="54"/>
      <c r="EC20" s="54"/>
      <c r="ED20" s="54"/>
      <c r="EE20" s="54" t="s">
        <v>42</v>
      </c>
      <c r="EF20" s="54" t="s">
        <v>42</v>
      </c>
      <c r="EG20" s="54" t="s">
        <v>42</v>
      </c>
      <c r="EH20" s="54" t="s">
        <v>42</v>
      </c>
      <c r="EI20" s="54" t="s">
        <v>42</v>
      </c>
      <c r="EJ20" s="54" t="s">
        <v>42</v>
      </c>
      <c r="EK20" s="54" t="s">
        <v>42</v>
      </c>
      <c r="EL20" s="54" t="s">
        <v>42</v>
      </c>
      <c r="EM20" s="54" t="s">
        <v>42</v>
      </c>
      <c r="EN20" s="54" t="s">
        <v>42</v>
      </c>
      <c r="EO20" s="54" t="s">
        <v>42</v>
      </c>
      <c r="EP20" s="54" t="s">
        <v>130</v>
      </c>
      <c r="EQ20" s="54" t="s">
        <v>42</v>
      </c>
      <c r="ER20" s="54" t="s">
        <v>42</v>
      </c>
      <c r="ES20" s="54" t="s">
        <v>42</v>
      </c>
      <c r="ET20" s="54" t="s">
        <v>42</v>
      </c>
      <c r="EU20" s="54" t="s">
        <v>42</v>
      </c>
      <c r="EV20" s="54" t="s">
        <v>42</v>
      </c>
      <c r="EW20" s="54" t="s">
        <v>42</v>
      </c>
      <c r="EX20" s="54" t="s">
        <v>42</v>
      </c>
      <c r="EY20" s="54" t="s">
        <v>42</v>
      </c>
      <c r="EZ20" s="54" t="s">
        <v>42</v>
      </c>
      <c r="FA20" s="54" t="s">
        <v>42</v>
      </c>
      <c r="FB20" s="54" t="s">
        <v>42</v>
      </c>
      <c r="FC20" s="54" t="s">
        <v>42</v>
      </c>
      <c r="FD20" s="54" t="s">
        <v>42</v>
      </c>
      <c r="FE20" s="54" t="s">
        <v>42</v>
      </c>
      <c r="FF20" s="54" t="s">
        <v>42</v>
      </c>
      <c r="FG20" s="54" t="s">
        <v>42</v>
      </c>
      <c r="FH20" s="54" t="s">
        <v>42</v>
      </c>
      <c r="FI20" s="54" t="s">
        <v>42</v>
      </c>
      <c r="FJ20" s="54" t="s">
        <v>42</v>
      </c>
      <c r="FK20" s="54" t="s">
        <v>42</v>
      </c>
      <c r="FL20" s="54" t="s">
        <v>42</v>
      </c>
      <c r="FM20" s="54" t="s">
        <v>42</v>
      </c>
      <c r="FN20" s="54" t="s">
        <v>42</v>
      </c>
      <c r="FO20" s="54" t="s">
        <v>42</v>
      </c>
      <c r="FP20" s="54" t="s">
        <v>42</v>
      </c>
      <c r="FQ20" s="54" t="s">
        <v>42</v>
      </c>
      <c r="FR20" s="54" t="s">
        <v>42</v>
      </c>
      <c r="FS20" s="54" t="s">
        <v>42</v>
      </c>
      <c r="FT20" s="54" t="s">
        <v>42</v>
      </c>
      <c r="FU20" s="54" t="s">
        <v>42</v>
      </c>
      <c r="FV20" s="54" t="s">
        <v>42</v>
      </c>
      <c r="FW20" s="54" t="s">
        <v>42</v>
      </c>
      <c r="FX20" s="54" t="s">
        <v>42</v>
      </c>
      <c r="FY20" s="54" t="s">
        <v>42</v>
      </c>
      <c r="FZ20" s="54" t="s">
        <v>42</v>
      </c>
      <c r="GA20" s="54" t="s">
        <v>42</v>
      </c>
      <c r="GB20" s="54" t="s">
        <v>42</v>
      </c>
      <c r="GC20" s="54" t="s">
        <v>42</v>
      </c>
      <c r="GD20" s="54" t="s">
        <v>42</v>
      </c>
      <c r="GE20" s="54" t="s">
        <v>42</v>
      </c>
      <c r="GF20" s="54" t="s">
        <v>42</v>
      </c>
      <c r="GG20" s="54" t="s">
        <v>42</v>
      </c>
      <c r="GH20" s="54" t="s">
        <v>42</v>
      </c>
      <c r="GI20" s="54" t="s">
        <v>42</v>
      </c>
      <c r="GJ20" s="54" t="s">
        <v>42</v>
      </c>
      <c r="GK20" s="54" t="s">
        <v>42</v>
      </c>
      <c r="GL20" s="54" t="s">
        <v>42</v>
      </c>
      <c r="GM20" s="54" t="s">
        <v>42</v>
      </c>
      <c r="GN20" s="54" t="s">
        <v>42</v>
      </c>
      <c r="GO20" s="54" t="s">
        <v>42</v>
      </c>
      <c r="GP20" s="54" t="s">
        <v>42</v>
      </c>
      <c r="GQ20" s="54" t="s">
        <v>42</v>
      </c>
      <c r="GR20" s="54" t="s">
        <v>42</v>
      </c>
      <c r="GS20" s="54" t="s">
        <v>42</v>
      </c>
      <c r="GT20" s="54" t="s">
        <v>42</v>
      </c>
      <c r="GU20" s="54" t="s">
        <v>42</v>
      </c>
      <c r="GV20" s="54" t="s">
        <v>42</v>
      </c>
    </row>
    <row r="21">
      <c r="D21" s="53" t="str">
        <f t="array" ref="D21">IF('Wątki'!B23=$A$1,INDIRECT("Klasa"),IF('Wątki'!B23=$A$2,INDIRECT("Grupa"),IF('Wątki'!B23=$A$3,INDIRECT("Postać"),"Nie")))</f>
        <v>Nie</v>
      </c>
      <c r="E21" s="53"/>
      <c r="F21" s="54" t="s">
        <v>43</v>
      </c>
      <c r="G21" s="54" t="s">
        <v>43</v>
      </c>
      <c r="H21" s="54" t="s">
        <v>43</v>
      </c>
      <c r="I21" s="54"/>
      <c r="J21" s="54" t="s">
        <v>43</v>
      </c>
      <c r="K21" s="54" t="s">
        <v>43</v>
      </c>
      <c r="L21" s="54" t="s">
        <v>43</v>
      </c>
      <c r="M21" s="54" t="s">
        <v>43</v>
      </c>
      <c r="N21" s="54" t="s">
        <v>43</v>
      </c>
      <c r="O21" s="54" t="s">
        <v>43</v>
      </c>
      <c r="P21" s="54" t="s">
        <v>43</v>
      </c>
      <c r="Q21" s="54" t="s">
        <v>43</v>
      </c>
      <c r="R21" s="54" t="s">
        <v>43</v>
      </c>
      <c r="S21" s="54" t="s">
        <v>43</v>
      </c>
      <c r="T21" s="54" t="s">
        <v>43</v>
      </c>
      <c r="U21" s="54" t="s">
        <v>43</v>
      </c>
      <c r="V21" s="54" t="s">
        <v>132</v>
      </c>
      <c r="W21" s="54" t="s">
        <v>43</v>
      </c>
      <c r="X21" s="54" t="s">
        <v>43</v>
      </c>
      <c r="Y21" s="54" t="s">
        <v>43</v>
      </c>
      <c r="Z21" s="54" t="s">
        <v>43</v>
      </c>
      <c r="AA21" s="54"/>
      <c r="AB21" s="54" t="s">
        <v>43</v>
      </c>
      <c r="AC21" s="54" t="s">
        <v>43</v>
      </c>
      <c r="AD21" s="54" t="s">
        <v>43</v>
      </c>
      <c r="AE21" s="54" t="s">
        <v>43</v>
      </c>
      <c r="AF21" s="54" t="s">
        <v>43</v>
      </c>
      <c r="AG21" s="54" t="s">
        <v>43</v>
      </c>
      <c r="AH21" s="54" t="s">
        <v>43</v>
      </c>
      <c r="AI21" s="54" t="s">
        <v>43</v>
      </c>
      <c r="AJ21" s="54" t="s">
        <v>43</v>
      </c>
      <c r="AK21" s="54" t="s">
        <v>43</v>
      </c>
      <c r="AL21" s="54" t="s">
        <v>132</v>
      </c>
      <c r="AM21" s="54" t="s">
        <v>43</v>
      </c>
      <c r="AN21" s="54" t="s">
        <v>43</v>
      </c>
      <c r="AO21" s="54" t="s">
        <v>43</v>
      </c>
      <c r="AP21" s="54" t="s">
        <v>43</v>
      </c>
      <c r="AQ21" s="54" t="s">
        <v>43</v>
      </c>
      <c r="AR21" s="54" t="s">
        <v>43</v>
      </c>
      <c r="AS21" s="54" t="s">
        <v>43</v>
      </c>
      <c r="AT21" s="54" t="s">
        <v>43</v>
      </c>
      <c r="AU21" s="54" t="s">
        <v>43</v>
      </c>
      <c r="AV21" s="54" t="s">
        <v>132</v>
      </c>
      <c r="AW21" s="54" t="s">
        <v>43</v>
      </c>
      <c r="AX21" s="54" t="s">
        <v>132</v>
      </c>
      <c r="AY21" s="54" t="s">
        <v>132</v>
      </c>
      <c r="AZ21" s="54" t="s">
        <v>132</v>
      </c>
      <c r="BA21" s="54" t="s">
        <v>132</v>
      </c>
      <c r="BB21" s="54" t="s">
        <v>132</v>
      </c>
      <c r="BC21" s="54" t="s">
        <v>132</v>
      </c>
      <c r="BD21" s="54" t="s">
        <v>132</v>
      </c>
      <c r="BE21" s="54" t="s">
        <v>132</v>
      </c>
      <c r="BF21" s="54" t="s">
        <v>132</v>
      </c>
      <c r="BG21" s="54" t="s">
        <v>132</v>
      </c>
      <c r="BH21" s="54" t="s">
        <v>132</v>
      </c>
      <c r="BI21" s="54" t="s">
        <v>132</v>
      </c>
      <c r="BJ21" s="54" t="s">
        <v>132</v>
      </c>
      <c r="BK21" s="54" t="s">
        <v>132</v>
      </c>
      <c r="BL21" s="54" t="s">
        <v>132</v>
      </c>
      <c r="BM21" s="54" t="s">
        <v>132</v>
      </c>
      <c r="BN21" s="54" t="s">
        <v>132</v>
      </c>
      <c r="BO21" s="54" t="s">
        <v>132</v>
      </c>
      <c r="BP21" s="54" t="s">
        <v>132</v>
      </c>
      <c r="BQ21" s="54" t="s">
        <v>43</v>
      </c>
      <c r="BR21" s="54" t="s">
        <v>43</v>
      </c>
      <c r="BS21" s="54" t="s">
        <v>43</v>
      </c>
      <c r="BT21" s="54" t="s">
        <v>132</v>
      </c>
      <c r="BU21" s="54" t="s">
        <v>43</v>
      </c>
      <c r="BV21" s="54" t="s">
        <v>43</v>
      </c>
      <c r="BW21" s="54" t="s">
        <v>132</v>
      </c>
      <c r="BX21" s="54" t="s">
        <v>43</v>
      </c>
      <c r="BY21" s="54" t="s">
        <v>43</v>
      </c>
      <c r="BZ21" s="54" t="s">
        <v>43</v>
      </c>
      <c r="CA21" s="54" t="s">
        <v>43</v>
      </c>
      <c r="CB21" s="54" t="s">
        <v>43</v>
      </c>
      <c r="CC21" s="54" t="s">
        <v>43</v>
      </c>
      <c r="CD21" s="54" t="s">
        <v>43</v>
      </c>
      <c r="CE21" s="54" t="s">
        <v>43</v>
      </c>
      <c r="CF21" s="54" t="s">
        <v>132</v>
      </c>
      <c r="CG21" s="54" t="s">
        <v>43</v>
      </c>
      <c r="CH21" s="54" t="s">
        <v>43</v>
      </c>
      <c r="CI21" s="54" t="s">
        <v>43</v>
      </c>
      <c r="CJ21" s="54" t="s">
        <v>43</v>
      </c>
      <c r="CK21" s="54" t="s">
        <v>43</v>
      </c>
      <c r="CL21" s="54" t="s">
        <v>43</v>
      </c>
      <c r="CM21" s="54" t="s">
        <v>132</v>
      </c>
      <c r="CN21" s="54"/>
      <c r="CO21" s="54" t="s">
        <v>43</v>
      </c>
      <c r="CP21" s="54" t="s">
        <v>43</v>
      </c>
      <c r="CQ21" s="54" t="s">
        <v>43</v>
      </c>
      <c r="CR21" s="54" t="s">
        <v>43</v>
      </c>
      <c r="CS21" s="54" t="s">
        <v>132</v>
      </c>
      <c r="CT21" s="54" t="s">
        <v>132</v>
      </c>
      <c r="CU21" s="54" t="s">
        <v>43</v>
      </c>
      <c r="CV21" s="54" t="s">
        <v>132</v>
      </c>
      <c r="CW21" s="54" t="s">
        <v>43</v>
      </c>
      <c r="CX21" s="54" t="s">
        <v>43</v>
      </c>
      <c r="CY21" s="54" t="s">
        <v>43</v>
      </c>
      <c r="CZ21" s="54"/>
      <c r="DA21" s="54" t="s">
        <v>43</v>
      </c>
      <c r="DB21" s="54" t="s">
        <v>43</v>
      </c>
      <c r="DC21" s="54" t="s">
        <v>132</v>
      </c>
      <c r="DD21" s="54" t="s">
        <v>132</v>
      </c>
      <c r="DE21" s="54" t="s">
        <v>132</v>
      </c>
      <c r="DF21" s="54" t="s">
        <v>43</v>
      </c>
      <c r="DG21" s="54" t="s">
        <v>43</v>
      </c>
      <c r="DH21" s="54" t="s">
        <v>43</v>
      </c>
      <c r="DI21" s="54" t="s">
        <v>43</v>
      </c>
      <c r="DJ21" s="54" t="s">
        <v>43</v>
      </c>
      <c r="DK21" s="54" t="s">
        <v>132</v>
      </c>
      <c r="DL21" s="54" t="s">
        <v>132</v>
      </c>
      <c r="DM21" s="54" t="s">
        <v>132</v>
      </c>
      <c r="DN21" s="54" t="s">
        <v>43</v>
      </c>
      <c r="DO21" s="54" t="s">
        <v>43</v>
      </c>
      <c r="DP21" s="54" t="s">
        <v>43</v>
      </c>
      <c r="DQ21" s="54" t="s">
        <v>132</v>
      </c>
      <c r="DR21" s="54" t="s">
        <v>43</v>
      </c>
      <c r="DS21" s="54" t="s">
        <v>43</v>
      </c>
      <c r="DT21" s="54" t="s">
        <v>43</v>
      </c>
      <c r="DU21" s="54" t="s">
        <v>43</v>
      </c>
      <c r="DV21" s="54" t="s">
        <v>43</v>
      </c>
      <c r="DW21" s="54" t="s">
        <v>132</v>
      </c>
      <c r="DX21" s="54"/>
      <c r="DY21" s="54" t="s">
        <v>132</v>
      </c>
      <c r="DZ21" s="54"/>
      <c r="EA21" s="54"/>
      <c r="EB21" s="54"/>
      <c r="EC21" s="54"/>
      <c r="ED21" s="54"/>
      <c r="EE21" s="54" t="s">
        <v>43</v>
      </c>
      <c r="EF21" s="54" t="s">
        <v>43</v>
      </c>
      <c r="EG21" s="54" t="s">
        <v>43</v>
      </c>
      <c r="EH21" s="54" t="s">
        <v>43</v>
      </c>
      <c r="EI21" s="54" t="s">
        <v>43</v>
      </c>
      <c r="EJ21" s="54" t="s">
        <v>43</v>
      </c>
      <c r="EK21" s="54" t="s">
        <v>43</v>
      </c>
      <c r="EL21" s="54" t="s">
        <v>43</v>
      </c>
      <c r="EM21" s="54" t="s">
        <v>43</v>
      </c>
      <c r="EN21" s="54" t="s">
        <v>43</v>
      </c>
      <c r="EO21" s="54" t="s">
        <v>43</v>
      </c>
      <c r="EP21" s="54" t="s">
        <v>132</v>
      </c>
      <c r="EQ21" s="54" t="s">
        <v>43</v>
      </c>
      <c r="ER21" s="54" t="s">
        <v>43</v>
      </c>
      <c r="ES21" s="54" t="s">
        <v>43</v>
      </c>
      <c r="ET21" s="54" t="s">
        <v>43</v>
      </c>
      <c r="EU21" s="54" t="s">
        <v>43</v>
      </c>
      <c r="EV21" s="54" t="s">
        <v>43</v>
      </c>
      <c r="EW21" s="54" t="s">
        <v>43</v>
      </c>
      <c r="EX21" s="54" t="s">
        <v>43</v>
      </c>
      <c r="EY21" s="54" t="s">
        <v>43</v>
      </c>
      <c r="EZ21" s="54" t="s">
        <v>43</v>
      </c>
      <c r="FA21" s="54" t="s">
        <v>43</v>
      </c>
      <c r="FB21" s="54" t="s">
        <v>43</v>
      </c>
      <c r="FC21" s="54" t="s">
        <v>43</v>
      </c>
      <c r="FD21" s="54" t="s">
        <v>43</v>
      </c>
      <c r="FE21" s="54" t="s">
        <v>43</v>
      </c>
      <c r="FF21" s="54" t="s">
        <v>43</v>
      </c>
      <c r="FG21" s="54" t="s">
        <v>43</v>
      </c>
      <c r="FH21" s="54" t="s">
        <v>43</v>
      </c>
      <c r="FI21" s="54" t="s">
        <v>43</v>
      </c>
      <c r="FJ21" s="54" t="s">
        <v>43</v>
      </c>
      <c r="FK21" s="54" t="s">
        <v>43</v>
      </c>
      <c r="FL21" s="54" t="s">
        <v>43</v>
      </c>
      <c r="FM21" s="54" t="s">
        <v>43</v>
      </c>
      <c r="FN21" s="54" t="s">
        <v>43</v>
      </c>
      <c r="FO21" s="54" t="s">
        <v>43</v>
      </c>
      <c r="FP21" s="54" t="s">
        <v>43</v>
      </c>
      <c r="FQ21" s="54" t="s">
        <v>43</v>
      </c>
      <c r="FR21" s="54" t="s">
        <v>43</v>
      </c>
      <c r="FS21" s="54" t="s">
        <v>43</v>
      </c>
      <c r="FT21" s="54" t="s">
        <v>43</v>
      </c>
      <c r="FU21" s="54" t="s">
        <v>43</v>
      </c>
      <c r="FV21" s="54" t="s">
        <v>43</v>
      </c>
      <c r="FW21" s="54" t="s">
        <v>43</v>
      </c>
      <c r="FX21" s="54" t="s">
        <v>43</v>
      </c>
      <c r="FY21" s="54" t="s">
        <v>43</v>
      </c>
      <c r="FZ21" s="54" t="s">
        <v>43</v>
      </c>
      <c r="GA21" s="54" t="s">
        <v>43</v>
      </c>
      <c r="GB21" s="54" t="s">
        <v>43</v>
      </c>
      <c r="GC21" s="54" t="s">
        <v>43</v>
      </c>
      <c r="GD21" s="54" t="s">
        <v>43</v>
      </c>
      <c r="GE21" s="54" t="s">
        <v>43</v>
      </c>
      <c r="GF21" s="54" t="s">
        <v>43</v>
      </c>
      <c r="GG21" s="54" t="s">
        <v>43</v>
      </c>
      <c r="GH21" s="54" t="s">
        <v>43</v>
      </c>
      <c r="GI21" s="54" t="s">
        <v>43</v>
      </c>
      <c r="GJ21" s="54" t="s">
        <v>43</v>
      </c>
      <c r="GK21" s="54" t="s">
        <v>43</v>
      </c>
      <c r="GL21" s="54" t="s">
        <v>43</v>
      </c>
      <c r="GM21" s="54" t="s">
        <v>43</v>
      </c>
      <c r="GN21" s="54" t="s">
        <v>43</v>
      </c>
      <c r="GO21" s="54" t="s">
        <v>43</v>
      </c>
      <c r="GP21" s="54" t="s">
        <v>43</v>
      </c>
      <c r="GQ21" s="54" t="s">
        <v>43</v>
      </c>
      <c r="GR21" s="54" t="s">
        <v>43</v>
      </c>
      <c r="GS21" s="54" t="s">
        <v>43</v>
      </c>
      <c r="GT21" s="54" t="s">
        <v>43</v>
      </c>
      <c r="GU21" s="54" t="s">
        <v>43</v>
      </c>
      <c r="GV21" s="54" t="s">
        <v>43</v>
      </c>
    </row>
    <row r="22">
      <c r="A22" s="58" t="s">
        <v>14</v>
      </c>
      <c r="B22" s="58" t="s">
        <v>15</v>
      </c>
      <c r="D22" s="53" t="str">
        <f t="array" ref="D22">IF(#REF!=$A$1,INDIRECT("Klasa"),IF(#REF!=$A$2,INDIRECT("Grupa"),IF(#REF!=$A$3,INDIRECT("Postać"),"Nie")))</f>
        <v>#REF!</v>
      </c>
      <c r="E22" s="53"/>
      <c r="F22" s="54" t="s">
        <v>45</v>
      </c>
      <c r="G22" s="54" t="s">
        <v>45</v>
      </c>
      <c r="H22" s="54" t="s">
        <v>45</v>
      </c>
      <c r="I22" s="54"/>
      <c r="J22" s="54" t="s">
        <v>45</v>
      </c>
      <c r="K22" s="54" t="s">
        <v>45</v>
      </c>
      <c r="L22" s="54" t="s">
        <v>45</v>
      </c>
      <c r="M22" s="54" t="s">
        <v>45</v>
      </c>
      <c r="N22" s="54" t="s">
        <v>45</v>
      </c>
      <c r="O22" s="54" t="s">
        <v>45</v>
      </c>
      <c r="P22" s="54" t="s">
        <v>45</v>
      </c>
      <c r="Q22" s="54" t="s">
        <v>45</v>
      </c>
      <c r="R22" s="54" t="s">
        <v>45</v>
      </c>
      <c r="S22" s="54" t="s">
        <v>45</v>
      </c>
      <c r="T22" s="54" t="s">
        <v>45</v>
      </c>
      <c r="U22" s="54" t="s">
        <v>45</v>
      </c>
      <c r="V22" s="54" t="s">
        <v>134</v>
      </c>
      <c r="W22" s="54" t="s">
        <v>45</v>
      </c>
      <c r="X22" s="54" t="s">
        <v>45</v>
      </c>
      <c r="Y22" s="54" t="s">
        <v>45</v>
      </c>
      <c r="Z22" s="54" t="s">
        <v>45</v>
      </c>
      <c r="AA22" s="54"/>
      <c r="AB22" s="54" t="s">
        <v>45</v>
      </c>
      <c r="AC22" s="54" t="s">
        <v>45</v>
      </c>
      <c r="AD22" s="54" t="s">
        <v>45</v>
      </c>
      <c r="AE22" s="54" t="s">
        <v>45</v>
      </c>
      <c r="AF22" s="54" t="s">
        <v>45</v>
      </c>
      <c r="AG22" s="54" t="s">
        <v>45</v>
      </c>
      <c r="AH22" s="54" t="s">
        <v>45</v>
      </c>
      <c r="AI22" s="54" t="s">
        <v>45</v>
      </c>
      <c r="AJ22" s="54" t="s">
        <v>45</v>
      </c>
      <c r="AK22" s="54" t="s">
        <v>45</v>
      </c>
      <c r="AL22" s="54" t="s">
        <v>134</v>
      </c>
      <c r="AM22" s="54" t="s">
        <v>45</v>
      </c>
      <c r="AN22" s="54" t="s">
        <v>45</v>
      </c>
      <c r="AO22" s="54" t="s">
        <v>45</v>
      </c>
      <c r="AP22" s="54" t="s">
        <v>45</v>
      </c>
      <c r="AQ22" s="54" t="s">
        <v>45</v>
      </c>
      <c r="AR22" s="54" t="s">
        <v>45</v>
      </c>
      <c r="AS22" s="54" t="s">
        <v>45</v>
      </c>
      <c r="AT22" s="54" t="s">
        <v>45</v>
      </c>
      <c r="AU22" s="54" t="s">
        <v>45</v>
      </c>
      <c r="AV22" s="54" t="s">
        <v>134</v>
      </c>
      <c r="AW22" s="54" t="s">
        <v>45</v>
      </c>
      <c r="AX22" s="54" t="s">
        <v>134</v>
      </c>
      <c r="AY22" s="54" t="s">
        <v>134</v>
      </c>
      <c r="AZ22" s="54" t="s">
        <v>134</v>
      </c>
      <c r="BA22" s="54" t="s">
        <v>134</v>
      </c>
      <c r="BB22" s="54" t="s">
        <v>134</v>
      </c>
      <c r="BC22" s="54" t="s">
        <v>134</v>
      </c>
      <c r="BD22" s="54" t="s">
        <v>134</v>
      </c>
      <c r="BE22" s="54" t="s">
        <v>134</v>
      </c>
      <c r="BF22" s="54" t="s">
        <v>134</v>
      </c>
      <c r="BG22" s="54" t="s">
        <v>134</v>
      </c>
      <c r="BH22" s="54" t="s">
        <v>134</v>
      </c>
      <c r="BI22" s="54" t="s">
        <v>134</v>
      </c>
      <c r="BJ22" s="54" t="s">
        <v>134</v>
      </c>
      <c r="BK22" s="54" t="s">
        <v>134</v>
      </c>
      <c r="BL22" s="54" t="s">
        <v>134</v>
      </c>
      <c r="BM22" s="54" t="s">
        <v>134</v>
      </c>
      <c r="BN22" s="54" t="s">
        <v>134</v>
      </c>
      <c r="BO22" s="54" t="s">
        <v>134</v>
      </c>
      <c r="BP22" s="54" t="s">
        <v>134</v>
      </c>
      <c r="BQ22" s="54" t="s">
        <v>45</v>
      </c>
      <c r="BR22" s="54" t="s">
        <v>45</v>
      </c>
      <c r="BS22" s="54" t="s">
        <v>45</v>
      </c>
      <c r="BT22" s="54" t="s">
        <v>134</v>
      </c>
      <c r="BU22" s="54" t="s">
        <v>45</v>
      </c>
      <c r="BV22" s="54" t="s">
        <v>45</v>
      </c>
      <c r="BW22" s="54" t="s">
        <v>134</v>
      </c>
      <c r="BX22" s="54" t="s">
        <v>45</v>
      </c>
      <c r="BY22" s="54" t="s">
        <v>45</v>
      </c>
      <c r="BZ22" s="54" t="s">
        <v>45</v>
      </c>
      <c r="CA22" s="54" t="s">
        <v>45</v>
      </c>
      <c r="CB22" s="54" t="s">
        <v>45</v>
      </c>
      <c r="CC22" s="54" t="s">
        <v>45</v>
      </c>
      <c r="CD22" s="54" t="s">
        <v>45</v>
      </c>
      <c r="CE22" s="54" t="s">
        <v>45</v>
      </c>
      <c r="CF22" s="54" t="s">
        <v>134</v>
      </c>
      <c r="CG22" s="54" t="s">
        <v>45</v>
      </c>
      <c r="CH22" s="54" t="s">
        <v>45</v>
      </c>
      <c r="CI22" s="54" t="s">
        <v>45</v>
      </c>
      <c r="CJ22" s="54" t="s">
        <v>45</v>
      </c>
      <c r="CK22" s="54" t="s">
        <v>45</v>
      </c>
      <c r="CL22" s="54" t="s">
        <v>45</v>
      </c>
      <c r="CM22" s="54" t="s">
        <v>134</v>
      </c>
      <c r="CN22" s="54"/>
      <c r="CO22" s="54" t="s">
        <v>45</v>
      </c>
      <c r="CP22" s="54" t="s">
        <v>45</v>
      </c>
      <c r="CQ22" s="54" t="s">
        <v>45</v>
      </c>
      <c r="CR22" s="54" t="s">
        <v>45</v>
      </c>
      <c r="CS22" s="54" t="s">
        <v>134</v>
      </c>
      <c r="CT22" s="54" t="s">
        <v>134</v>
      </c>
      <c r="CU22" s="54" t="s">
        <v>45</v>
      </c>
      <c r="CV22" s="54" t="s">
        <v>134</v>
      </c>
      <c r="CW22" s="54" t="s">
        <v>45</v>
      </c>
      <c r="CX22" s="54" t="s">
        <v>45</v>
      </c>
      <c r="CY22" s="54" t="s">
        <v>45</v>
      </c>
      <c r="CZ22" s="54"/>
      <c r="DA22" s="54" t="s">
        <v>45</v>
      </c>
      <c r="DB22" s="54" t="s">
        <v>45</v>
      </c>
      <c r="DC22" s="54" t="s">
        <v>134</v>
      </c>
      <c r="DD22" s="54" t="s">
        <v>134</v>
      </c>
      <c r="DE22" s="54" t="s">
        <v>134</v>
      </c>
      <c r="DF22" s="54" t="s">
        <v>45</v>
      </c>
      <c r="DG22" s="54" t="s">
        <v>45</v>
      </c>
      <c r="DH22" s="54" t="s">
        <v>45</v>
      </c>
      <c r="DI22" s="54" t="s">
        <v>45</v>
      </c>
      <c r="DJ22" s="54" t="s">
        <v>45</v>
      </c>
      <c r="DK22" s="54" t="s">
        <v>134</v>
      </c>
      <c r="DL22" s="54" t="s">
        <v>134</v>
      </c>
      <c r="DM22" s="54" t="s">
        <v>134</v>
      </c>
      <c r="DN22" s="54" t="s">
        <v>45</v>
      </c>
      <c r="DO22" s="54" t="s">
        <v>45</v>
      </c>
      <c r="DP22" s="54" t="s">
        <v>45</v>
      </c>
      <c r="DQ22" s="54" t="s">
        <v>134</v>
      </c>
      <c r="DR22" s="54" t="s">
        <v>45</v>
      </c>
      <c r="DS22" s="54" t="s">
        <v>45</v>
      </c>
      <c r="DT22" s="54" t="s">
        <v>45</v>
      </c>
      <c r="DU22" s="54" t="s">
        <v>45</v>
      </c>
      <c r="DV22" s="54" t="s">
        <v>45</v>
      </c>
      <c r="DW22" s="54" t="s">
        <v>134</v>
      </c>
      <c r="DX22" s="54"/>
      <c r="DY22" s="54" t="s">
        <v>134</v>
      </c>
      <c r="DZ22" s="54"/>
      <c r="EA22" s="54"/>
      <c r="EB22" s="54"/>
      <c r="EC22" s="54"/>
      <c r="ED22" s="54"/>
      <c r="EE22" s="54" t="s">
        <v>45</v>
      </c>
      <c r="EF22" s="54" t="s">
        <v>45</v>
      </c>
      <c r="EG22" s="54" t="s">
        <v>45</v>
      </c>
      <c r="EH22" s="54" t="s">
        <v>45</v>
      </c>
      <c r="EI22" s="54" t="s">
        <v>45</v>
      </c>
      <c r="EJ22" s="54" t="s">
        <v>45</v>
      </c>
      <c r="EK22" s="54" t="s">
        <v>45</v>
      </c>
      <c r="EL22" s="54" t="s">
        <v>45</v>
      </c>
      <c r="EM22" s="54" t="s">
        <v>45</v>
      </c>
      <c r="EN22" s="54" t="s">
        <v>45</v>
      </c>
      <c r="EO22" s="54" t="s">
        <v>45</v>
      </c>
      <c r="EP22" s="54" t="s">
        <v>134</v>
      </c>
      <c r="EQ22" s="54" t="s">
        <v>45</v>
      </c>
      <c r="ER22" s="54" t="s">
        <v>45</v>
      </c>
      <c r="ES22" s="54" t="s">
        <v>45</v>
      </c>
      <c r="ET22" s="54" t="s">
        <v>45</v>
      </c>
      <c r="EU22" s="54" t="s">
        <v>45</v>
      </c>
      <c r="EV22" s="54" t="s">
        <v>45</v>
      </c>
      <c r="EW22" s="54" t="s">
        <v>45</v>
      </c>
      <c r="EX22" s="54" t="s">
        <v>45</v>
      </c>
      <c r="EY22" s="54" t="s">
        <v>45</v>
      </c>
      <c r="EZ22" s="54" t="s">
        <v>45</v>
      </c>
      <c r="FA22" s="54" t="s">
        <v>45</v>
      </c>
      <c r="FB22" s="54" t="s">
        <v>45</v>
      </c>
      <c r="FC22" s="54" t="s">
        <v>45</v>
      </c>
      <c r="FD22" s="54" t="s">
        <v>45</v>
      </c>
      <c r="FE22" s="54" t="s">
        <v>45</v>
      </c>
      <c r="FF22" s="54" t="s">
        <v>45</v>
      </c>
      <c r="FG22" s="54" t="s">
        <v>45</v>
      </c>
      <c r="FH22" s="54" t="s">
        <v>45</v>
      </c>
      <c r="FI22" s="54" t="s">
        <v>45</v>
      </c>
      <c r="FJ22" s="54" t="s">
        <v>45</v>
      </c>
      <c r="FK22" s="54" t="s">
        <v>45</v>
      </c>
      <c r="FL22" s="54" t="s">
        <v>45</v>
      </c>
      <c r="FM22" s="54" t="s">
        <v>45</v>
      </c>
      <c r="FN22" s="54" t="s">
        <v>45</v>
      </c>
      <c r="FO22" s="54" t="s">
        <v>45</v>
      </c>
      <c r="FP22" s="54" t="s">
        <v>45</v>
      </c>
      <c r="FQ22" s="54" t="s">
        <v>45</v>
      </c>
      <c r="FR22" s="54" t="s">
        <v>45</v>
      </c>
      <c r="FS22" s="54" t="s">
        <v>45</v>
      </c>
      <c r="FT22" s="54" t="s">
        <v>45</v>
      </c>
      <c r="FU22" s="54" t="s">
        <v>45</v>
      </c>
      <c r="FV22" s="54" t="s">
        <v>45</v>
      </c>
      <c r="FW22" s="54" t="s">
        <v>45</v>
      </c>
      <c r="FX22" s="54" t="s">
        <v>45</v>
      </c>
      <c r="FY22" s="54" t="s">
        <v>45</v>
      </c>
      <c r="FZ22" s="54" t="s">
        <v>45</v>
      </c>
      <c r="GA22" s="54" t="s">
        <v>45</v>
      </c>
      <c r="GB22" s="54" t="s">
        <v>45</v>
      </c>
      <c r="GC22" s="54" t="s">
        <v>45</v>
      </c>
      <c r="GD22" s="54" t="s">
        <v>45</v>
      </c>
      <c r="GE22" s="54" t="s">
        <v>45</v>
      </c>
      <c r="GF22" s="54" t="s">
        <v>45</v>
      </c>
      <c r="GG22" s="54" t="s">
        <v>45</v>
      </c>
      <c r="GH22" s="54" t="s">
        <v>45</v>
      </c>
      <c r="GI22" s="54" t="s">
        <v>45</v>
      </c>
      <c r="GJ22" s="54" t="s">
        <v>45</v>
      </c>
      <c r="GK22" s="54" t="s">
        <v>45</v>
      </c>
      <c r="GL22" s="54" t="s">
        <v>45</v>
      </c>
      <c r="GM22" s="54" t="s">
        <v>45</v>
      </c>
      <c r="GN22" s="54" t="s">
        <v>45</v>
      </c>
      <c r="GO22" s="54" t="s">
        <v>45</v>
      </c>
      <c r="GP22" s="54" t="s">
        <v>45</v>
      </c>
      <c r="GQ22" s="54" t="s">
        <v>45</v>
      </c>
      <c r="GR22" s="54" t="s">
        <v>45</v>
      </c>
      <c r="GS22" s="54" t="s">
        <v>45</v>
      </c>
      <c r="GT22" s="54" t="s">
        <v>45</v>
      </c>
      <c r="GU22" s="54" t="s">
        <v>45</v>
      </c>
      <c r="GV22" s="54" t="s">
        <v>45</v>
      </c>
    </row>
    <row r="23">
      <c r="A23" s="59"/>
      <c r="B23" s="58" t="s">
        <v>58</v>
      </c>
      <c r="D23" s="53" t="str">
        <f t="array" ref="D23">IF('Wątki'!B24=$A$1,INDIRECT("Klasa"),IF('Wątki'!B24=$A$2,INDIRECT("Grupa"),IF('Wątki'!B24=$A$3,INDIRECT("Postać"),"Nie")))</f>
        <v>Nie</v>
      </c>
      <c r="E23" s="53"/>
      <c r="F23" s="54" t="s">
        <v>46</v>
      </c>
      <c r="G23" s="54" t="s">
        <v>46</v>
      </c>
      <c r="H23" s="54" t="s">
        <v>46</v>
      </c>
      <c r="I23" s="54"/>
      <c r="J23" s="54" t="s">
        <v>46</v>
      </c>
      <c r="K23" s="54" t="s">
        <v>46</v>
      </c>
      <c r="L23" s="54" t="s">
        <v>46</v>
      </c>
      <c r="M23" s="54" t="s">
        <v>46</v>
      </c>
      <c r="N23" s="54" t="s">
        <v>46</v>
      </c>
      <c r="O23" s="54" t="s">
        <v>46</v>
      </c>
      <c r="P23" s="54" t="s">
        <v>46</v>
      </c>
      <c r="Q23" s="54" t="s">
        <v>46</v>
      </c>
      <c r="R23" s="54" t="s">
        <v>46</v>
      </c>
      <c r="S23" s="54" t="s">
        <v>46</v>
      </c>
      <c r="T23" s="54" t="s">
        <v>46</v>
      </c>
      <c r="U23" s="54" t="s">
        <v>46</v>
      </c>
      <c r="V23" s="54" t="s">
        <v>136</v>
      </c>
      <c r="W23" s="54" t="s">
        <v>46</v>
      </c>
      <c r="X23" s="54" t="s">
        <v>46</v>
      </c>
      <c r="Y23" s="54" t="s">
        <v>46</v>
      </c>
      <c r="Z23" s="54" t="s">
        <v>46</v>
      </c>
      <c r="AA23" s="54"/>
      <c r="AB23" s="54" t="s">
        <v>46</v>
      </c>
      <c r="AC23" s="54" t="s">
        <v>46</v>
      </c>
      <c r="AD23" s="54" t="s">
        <v>46</v>
      </c>
      <c r="AE23" s="54" t="s">
        <v>46</v>
      </c>
      <c r="AF23" s="54" t="s">
        <v>46</v>
      </c>
      <c r="AG23" s="54" t="s">
        <v>46</v>
      </c>
      <c r="AH23" s="54" t="s">
        <v>46</v>
      </c>
      <c r="AI23" s="54" t="s">
        <v>46</v>
      </c>
      <c r="AJ23" s="54" t="s">
        <v>46</v>
      </c>
      <c r="AK23" s="54" t="s">
        <v>46</v>
      </c>
      <c r="AL23" s="54" t="s">
        <v>136</v>
      </c>
      <c r="AM23" s="54" t="s">
        <v>46</v>
      </c>
      <c r="AN23" s="54" t="s">
        <v>46</v>
      </c>
      <c r="AO23" s="54" t="s">
        <v>46</v>
      </c>
      <c r="AP23" s="54" t="s">
        <v>46</v>
      </c>
      <c r="AQ23" s="54" t="s">
        <v>46</v>
      </c>
      <c r="AR23" s="54" t="s">
        <v>46</v>
      </c>
      <c r="AS23" s="54" t="s">
        <v>46</v>
      </c>
      <c r="AT23" s="54" t="s">
        <v>46</v>
      </c>
      <c r="AU23" s="54" t="s">
        <v>46</v>
      </c>
      <c r="AV23" s="54" t="s">
        <v>136</v>
      </c>
      <c r="AW23" s="54" t="s">
        <v>46</v>
      </c>
      <c r="AX23" s="54" t="s">
        <v>136</v>
      </c>
      <c r="AY23" s="54" t="s">
        <v>136</v>
      </c>
      <c r="AZ23" s="54" t="s">
        <v>136</v>
      </c>
      <c r="BA23" s="54" t="s">
        <v>136</v>
      </c>
      <c r="BB23" s="54" t="s">
        <v>136</v>
      </c>
      <c r="BC23" s="54" t="s">
        <v>136</v>
      </c>
      <c r="BD23" s="54" t="s">
        <v>136</v>
      </c>
      <c r="BE23" s="54" t="s">
        <v>136</v>
      </c>
      <c r="BF23" s="54" t="s">
        <v>136</v>
      </c>
      <c r="BG23" s="54" t="s">
        <v>136</v>
      </c>
      <c r="BH23" s="54" t="s">
        <v>136</v>
      </c>
      <c r="BI23" s="54" t="s">
        <v>136</v>
      </c>
      <c r="BJ23" s="54" t="s">
        <v>136</v>
      </c>
      <c r="BK23" s="54" t="s">
        <v>136</v>
      </c>
      <c r="BL23" s="54" t="s">
        <v>136</v>
      </c>
      <c r="BM23" s="54" t="s">
        <v>136</v>
      </c>
      <c r="BN23" s="54" t="s">
        <v>136</v>
      </c>
      <c r="BO23" s="54" t="s">
        <v>136</v>
      </c>
      <c r="BP23" s="54" t="s">
        <v>136</v>
      </c>
      <c r="BQ23" s="54" t="s">
        <v>46</v>
      </c>
      <c r="BR23" s="54" t="s">
        <v>46</v>
      </c>
      <c r="BS23" s="54" t="s">
        <v>46</v>
      </c>
      <c r="BT23" s="54" t="s">
        <v>136</v>
      </c>
      <c r="BU23" s="54" t="s">
        <v>46</v>
      </c>
      <c r="BV23" s="54" t="s">
        <v>46</v>
      </c>
      <c r="BW23" s="54" t="s">
        <v>136</v>
      </c>
      <c r="BX23" s="54" t="s">
        <v>46</v>
      </c>
      <c r="BY23" s="54" t="s">
        <v>46</v>
      </c>
      <c r="BZ23" s="54" t="s">
        <v>46</v>
      </c>
      <c r="CA23" s="54" t="s">
        <v>46</v>
      </c>
      <c r="CB23" s="54" t="s">
        <v>46</v>
      </c>
      <c r="CC23" s="54" t="s">
        <v>46</v>
      </c>
      <c r="CD23" s="54" t="s">
        <v>46</v>
      </c>
      <c r="CE23" s="54" t="s">
        <v>46</v>
      </c>
      <c r="CF23" s="54" t="s">
        <v>136</v>
      </c>
      <c r="CG23" s="54" t="s">
        <v>46</v>
      </c>
      <c r="CH23" s="54" t="s">
        <v>46</v>
      </c>
      <c r="CI23" s="54" t="s">
        <v>46</v>
      </c>
      <c r="CJ23" s="54" t="s">
        <v>46</v>
      </c>
      <c r="CK23" s="54" t="s">
        <v>46</v>
      </c>
      <c r="CL23" s="54" t="s">
        <v>46</v>
      </c>
      <c r="CM23" s="54" t="s">
        <v>136</v>
      </c>
      <c r="CN23" s="54"/>
      <c r="CO23" s="54" t="s">
        <v>46</v>
      </c>
      <c r="CP23" s="54" t="s">
        <v>46</v>
      </c>
      <c r="CQ23" s="54" t="s">
        <v>46</v>
      </c>
      <c r="CR23" s="54" t="s">
        <v>46</v>
      </c>
      <c r="CS23" s="54" t="s">
        <v>136</v>
      </c>
      <c r="CT23" s="54" t="s">
        <v>136</v>
      </c>
      <c r="CU23" s="54" t="s">
        <v>46</v>
      </c>
      <c r="CV23" s="54" t="s">
        <v>136</v>
      </c>
      <c r="CW23" s="54" t="s">
        <v>46</v>
      </c>
      <c r="CX23" s="54" t="s">
        <v>46</v>
      </c>
      <c r="CY23" s="54" t="s">
        <v>46</v>
      </c>
      <c r="CZ23" s="54"/>
      <c r="DA23" s="54" t="s">
        <v>46</v>
      </c>
      <c r="DB23" s="54" t="s">
        <v>46</v>
      </c>
      <c r="DC23" s="54" t="s">
        <v>136</v>
      </c>
      <c r="DD23" s="54" t="s">
        <v>136</v>
      </c>
      <c r="DE23" s="54" t="s">
        <v>136</v>
      </c>
      <c r="DF23" s="54" t="s">
        <v>46</v>
      </c>
      <c r="DG23" s="54" t="s">
        <v>46</v>
      </c>
      <c r="DH23" s="54" t="s">
        <v>46</v>
      </c>
      <c r="DI23" s="54" t="s">
        <v>46</v>
      </c>
      <c r="DJ23" s="54" t="s">
        <v>46</v>
      </c>
      <c r="DK23" s="54" t="s">
        <v>136</v>
      </c>
      <c r="DL23" s="54" t="s">
        <v>136</v>
      </c>
      <c r="DM23" s="54" t="s">
        <v>136</v>
      </c>
      <c r="DN23" s="54" t="s">
        <v>46</v>
      </c>
      <c r="DO23" s="54" t="s">
        <v>46</v>
      </c>
      <c r="DP23" s="54" t="s">
        <v>46</v>
      </c>
      <c r="DQ23" s="54" t="s">
        <v>136</v>
      </c>
      <c r="DR23" s="54" t="s">
        <v>46</v>
      </c>
      <c r="DS23" s="54" t="s">
        <v>46</v>
      </c>
      <c r="DT23" s="54" t="s">
        <v>46</v>
      </c>
      <c r="DU23" s="54" t="s">
        <v>46</v>
      </c>
      <c r="DV23" s="54" t="s">
        <v>46</v>
      </c>
      <c r="DW23" s="54" t="s">
        <v>136</v>
      </c>
      <c r="DX23" s="54"/>
      <c r="DY23" s="54" t="s">
        <v>136</v>
      </c>
      <c r="DZ23" s="54"/>
      <c r="EA23" s="54"/>
      <c r="EB23" s="54"/>
      <c r="EC23" s="54"/>
      <c r="ED23" s="54"/>
      <c r="EE23" s="54" t="s">
        <v>46</v>
      </c>
      <c r="EF23" s="54" t="s">
        <v>46</v>
      </c>
      <c r="EG23" s="54" t="s">
        <v>46</v>
      </c>
      <c r="EH23" s="54" t="s">
        <v>46</v>
      </c>
      <c r="EI23" s="54" t="s">
        <v>46</v>
      </c>
      <c r="EJ23" s="54" t="s">
        <v>46</v>
      </c>
      <c r="EK23" s="54" t="s">
        <v>46</v>
      </c>
      <c r="EL23" s="54" t="s">
        <v>46</v>
      </c>
      <c r="EM23" s="54" t="s">
        <v>46</v>
      </c>
      <c r="EN23" s="54" t="s">
        <v>46</v>
      </c>
      <c r="EO23" s="54" t="s">
        <v>46</v>
      </c>
      <c r="EP23" s="54" t="s">
        <v>136</v>
      </c>
      <c r="EQ23" s="54" t="s">
        <v>46</v>
      </c>
      <c r="ER23" s="54" t="s">
        <v>46</v>
      </c>
      <c r="ES23" s="54" t="s">
        <v>46</v>
      </c>
      <c r="ET23" s="54" t="s">
        <v>46</v>
      </c>
      <c r="EU23" s="54" t="s">
        <v>46</v>
      </c>
      <c r="EV23" s="54" t="s">
        <v>46</v>
      </c>
      <c r="EW23" s="54" t="s">
        <v>46</v>
      </c>
      <c r="EX23" s="54" t="s">
        <v>46</v>
      </c>
      <c r="EY23" s="54" t="s">
        <v>46</v>
      </c>
      <c r="EZ23" s="54" t="s">
        <v>46</v>
      </c>
      <c r="FA23" s="54" t="s">
        <v>46</v>
      </c>
      <c r="FB23" s="54" t="s">
        <v>46</v>
      </c>
      <c r="FC23" s="54" t="s">
        <v>46</v>
      </c>
      <c r="FD23" s="54" t="s">
        <v>46</v>
      </c>
      <c r="FE23" s="54" t="s">
        <v>46</v>
      </c>
      <c r="FF23" s="54" t="s">
        <v>46</v>
      </c>
      <c r="FG23" s="54" t="s">
        <v>46</v>
      </c>
      <c r="FH23" s="54" t="s">
        <v>46</v>
      </c>
      <c r="FI23" s="54" t="s">
        <v>46</v>
      </c>
      <c r="FJ23" s="54" t="s">
        <v>46</v>
      </c>
      <c r="FK23" s="54" t="s">
        <v>46</v>
      </c>
      <c r="FL23" s="54" t="s">
        <v>46</v>
      </c>
      <c r="FM23" s="54" t="s">
        <v>46</v>
      </c>
      <c r="FN23" s="54" t="s">
        <v>46</v>
      </c>
      <c r="FO23" s="54" t="s">
        <v>46</v>
      </c>
      <c r="FP23" s="54" t="s">
        <v>46</v>
      </c>
      <c r="FQ23" s="54" t="s">
        <v>46</v>
      </c>
      <c r="FR23" s="54" t="s">
        <v>46</v>
      </c>
      <c r="FS23" s="54" t="s">
        <v>46</v>
      </c>
      <c r="FT23" s="54" t="s">
        <v>46</v>
      </c>
      <c r="FU23" s="54" t="s">
        <v>46</v>
      </c>
      <c r="FV23" s="54" t="s">
        <v>46</v>
      </c>
      <c r="FW23" s="54" t="s">
        <v>46</v>
      </c>
      <c r="FX23" s="54" t="s">
        <v>46</v>
      </c>
      <c r="FY23" s="54" t="s">
        <v>46</v>
      </c>
      <c r="FZ23" s="54" t="s">
        <v>46</v>
      </c>
      <c r="GA23" s="54" t="s">
        <v>46</v>
      </c>
      <c r="GB23" s="54" t="s">
        <v>46</v>
      </c>
      <c r="GC23" s="54" t="s">
        <v>46</v>
      </c>
      <c r="GD23" s="54" t="s">
        <v>46</v>
      </c>
      <c r="GE23" s="54" t="s">
        <v>46</v>
      </c>
      <c r="GF23" s="54" t="s">
        <v>46</v>
      </c>
      <c r="GG23" s="54" t="s">
        <v>46</v>
      </c>
      <c r="GH23" s="54" t="s">
        <v>46</v>
      </c>
      <c r="GI23" s="54" t="s">
        <v>46</v>
      </c>
      <c r="GJ23" s="54" t="s">
        <v>46</v>
      </c>
      <c r="GK23" s="54" t="s">
        <v>46</v>
      </c>
      <c r="GL23" s="54" t="s">
        <v>46</v>
      </c>
      <c r="GM23" s="54" t="s">
        <v>46</v>
      </c>
      <c r="GN23" s="54" t="s">
        <v>46</v>
      </c>
      <c r="GO23" s="54" t="s">
        <v>46</v>
      </c>
      <c r="GP23" s="54" t="s">
        <v>46</v>
      </c>
      <c r="GQ23" s="54" t="s">
        <v>46</v>
      </c>
      <c r="GR23" s="54" t="s">
        <v>46</v>
      </c>
      <c r="GS23" s="54" t="s">
        <v>46</v>
      </c>
      <c r="GT23" s="54" t="s">
        <v>46</v>
      </c>
      <c r="GU23" s="54" t="s">
        <v>46</v>
      </c>
      <c r="GV23" s="54" t="s">
        <v>46</v>
      </c>
    </row>
    <row r="24">
      <c r="A24" s="58" t="s">
        <v>17</v>
      </c>
      <c r="B24" s="58" t="s">
        <v>688</v>
      </c>
      <c r="D24" s="53" t="str">
        <f t="array" ref="D24">IF('Wątki'!B25=$A$1,INDIRECT("Klasa"),IF('Wątki'!B25=$A$2,INDIRECT("Grupa"),IF('Wątki'!B25=$A$3,INDIRECT("Postać"),"Nie")))</f>
        <v>Nie</v>
      </c>
      <c r="E24" s="53"/>
      <c r="F24" s="54" t="s">
        <v>48</v>
      </c>
      <c r="G24" s="54" t="s">
        <v>48</v>
      </c>
      <c r="H24" s="54" t="s">
        <v>48</v>
      </c>
      <c r="I24" s="54"/>
      <c r="J24" s="54" t="s">
        <v>48</v>
      </c>
      <c r="K24" s="54" t="s">
        <v>48</v>
      </c>
      <c r="L24" s="54" t="s">
        <v>48</v>
      </c>
      <c r="M24" s="54" t="s">
        <v>48</v>
      </c>
      <c r="N24" s="54" t="s">
        <v>48</v>
      </c>
      <c r="O24" s="54" t="s">
        <v>48</v>
      </c>
      <c r="P24" s="54" t="s">
        <v>48</v>
      </c>
      <c r="Q24" s="54" t="s">
        <v>48</v>
      </c>
      <c r="R24" s="54" t="s">
        <v>48</v>
      </c>
      <c r="S24" s="54" t="s">
        <v>48</v>
      </c>
      <c r="T24" s="54" t="s">
        <v>48</v>
      </c>
      <c r="U24" s="54" t="s">
        <v>48</v>
      </c>
      <c r="V24" s="54" t="s">
        <v>138</v>
      </c>
      <c r="W24" s="54" t="s">
        <v>48</v>
      </c>
      <c r="X24" s="54" t="s">
        <v>48</v>
      </c>
      <c r="Y24" s="54" t="s">
        <v>48</v>
      </c>
      <c r="Z24" s="54" t="s">
        <v>48</v>
      </c>
      <c r="AA24" s="54"/>
      <c r="AB24" s="54" t="s">
        <v>48</v>
      </c>
      <c r="AC24" s="54" t="s">
        <v>48</v>
      </c>
      <c r="AD24" s="54" t="s">
        <v>48</v>
      </c>
      <c r="AE24" s="54" t="s">
        <v>48</v>
      </c>
      <c r="AF24" s="54" t="s">
        <v>48</v>
      </c>
      <c r="AG24" s="54" t="s">
        <v>48</v>
      </c>
      <c r="AH24" s="54" t="s">
        <v>48</v>
      </c>
      <c r="AI24" s="54" t="s">
        <v>48</v>
      </c>
      <c r="AJ24" s="54" t="s">
        <v>48</v>
      </c>
      <c r="AK24" s="54" t="s">
        <v>48</v>
      </c>
      <c r="AL24" s="54" t="s">
        <v>138</v>
      </c>
      <c r="AM24" s="54" t="s">
        <v>48</v>
      </c>
      <c r="AN24" s="54" t="s">
        <v>48</v>
      </c>
      <c r="AO24" s="54" t="s">
        <v>48</v>
      </c>
      <c r="AP24" s="54" t="s">
        <v>48</v>
      </c>
      <c r="AQ24" s="54" t="s">
        <v>48</v>
      </c>
      <c r="AR24" s="54" t="s">
        <v>48</v>
      </c>
      <c r="AS24" s="54" t="s">
        <v>48</v>
      </c>
      <c r="AT24" s="54" t="s">
        <v>48</v>
      </c>
      <c r="AU24" s="54" t="s">
        <v>48</v>
      </c>
      <c r="AV24" s="54" t="s">
        <v>138</v>
      </c>
      <c r="AW24" s="54" t="s">
        <v>48</v>
      </c>
      <c r="AX24" s="54" t="s">
        <v>138</v>
      </c>
      <c r="AY24" s="54" t="s">
        <v>138</v>
      </c>
      <c r="AZ24" s="54" t="s">
        <v>138</v>
      </c>
      <c r="BA24" s="54" t="s">
        <v>138</v>
      </c>
      <c r="BB24" s="54" t="s">
        <v>138</v>
      </c>
      <c r="BC24" s="54" t="s">
        <v>138</v>
      </c>
      <c r="BD24" s="54" t="s">
        <v>138</v>
      </c>
      <c r="BE24" s="54" t="s">
        <v>138</v>
      </c>
      <c r="BF24" s="54" t="s">
        <v>138</v>
      </c>
      <c r="BG24" s="54" t="s">
        <v>138</v>
      </c>
      <c r="BH24" s="54" t="s">
        <v>138</v>
      </c>
      <c r="BI24" s="54" t="s">
        <v>138</v>
      </c>
      <c r="BJ24" s="54" t="s">
        <v>138</v>
      </c>
      <c r="BK24" s="54" t="s">
        <v>138</v>
      </c>
      <c r="BL24" s="54" t="s">
        <v>138</v>
      </c>
      <c r="BM24" s="54" t="s">
        <v>138</v>
      </c>
      <c r="BN24" s="54" t="s">
        <v>138</v>
      </c>
      <c r="BO24" s="54" t="s">
        <v>138</v>
      </c>
      <c r="BP24" s="54" t="s">
        <v>138</v>
      </c>
      <c r="BQ24" s="54" t="s">
        <v>48</v>
      </c>
      <c r="BR24" s="54" t="s">
        <v>48</v>
      </c>
      <c r="BS24" s="54" t="s">
        <v>48</v>
      </c>
      <c r="BT24" s="54" t="s">
        <v>138</v>
      </c>
      <c r="BU24" s="54" t="s">
        <v>48</v>
      </c>
      <c r="BV24" s="54" t="s">
        <v>48</v>
      </c>
      <c r="BW24" s="54" t="s">
        <v>138</v>
      </c>
      <c r="BX24" s="54" t="s">
        <v>48</v>
      </c>
      <c r="BY24" s="54" t="s">
        <v>48</v>
      </c>
      <c r="BZ24" s="54" t="s">
        <v>48</v>
      </c>
      <c r="CA24" s="54" t="s">
        <v>48</v>
      </c>
      <c r="CB24" s="54" t="s">
        <v>48</v>
      </c>
      <c r="CC24" s="54" t="s">
        <v>48</v>
      </c>
      <c r="CD24" s="54" t="s">
        <v>48</v>
      </c>
      <c r="CE24" s="54" t="s">
        <v>48</v>
      </c>
      <c r="CF24" s="54" t="s">
        <v>138</v>
      </c>
      <c r="CG24" s="54" t="s">
        <v>48</v>
      </c>
      <c r="CH24" s="54" t="s">
        <v>48</v>
      </c>
      <c r="CI24" s="54" t="s">
        <v>48</v>
      </c>
      <c r="CJ24" s="54" t="s">
        <v>48</v>
      </c>
      <c r="CK24" s="54" t="s">
        <v>48</v>
      </c>
      <c r="CL24" s="54" t="s">
        <v>48</v>
      </c>
      <c r="CM24" s="54" t="s">
        <v>138</v>
      </c>
      <c r="CN24" s="54"/>
      <c r="CO24" s="54" t="s">
        <v>48</v>
      </c>
      <c r="CP24" s="54" t="s">
        <v>48</v>
      </c>
      <c r="CQ24" s="54" t="s">
        <v>48</v>
      </c>
      <c r="CR24" s="54" t="s">
        <v>48</v>
      </c>
      <c r="CS24" s="54" t="s">
        <v>138</v>
      </c>
      <c r="CT24" s="54" t="s">
        <v>138</v>
      </c>
      <c r="CU24" s="54" t="s">
        <v>48</v>
      </c>
      <c r="CV24" s="54" t="s">
        <v>138</v>
      </c>
      <c r="CW24" s="54" t="s">
        <v>48</v>
      </c>
      <c r="CX24" s="54" t="s">
        <v>48</v>
      </c>
      <c r="CY24" s="54" t="s">
        <v>48</v>
      </c>
      <c r="CZ24" s="54"/>
      <c r="DA24" s="54" t="s">
        <v>48</v>
      </c>
      <c r="DB24" s="54" t="s">
        <v>48</v>
      </c>
      <c r="DC24" s="54" t="s">
        <v>138</v>
      </c>
      <c r="DD24" s="54" t="s">
        <v>138</v>
      </c>
      <c r="DE24" s="54" t="s">
        <v>138</v>
      </c>
      <c r="DF24" s="54" t="s">
        <v>48</v>
      </c>
      <c r="DG24" s="54" t="s">
        <v>48</v>
      </c>
      <c r="DH24" s="54" t="s">
        <v>48</v>
      </c>
      <c r="DI24" s="54" t="s">
        <v>48</v>
      </c>
      <c r="DJ24" s="54" t="s">
        <v>48</v>
      </c>
      <c r="DK24" s="54" t="s">
        <v>138</v>
      </c>
      <c r="DL24" s="54" t="s">
        <v>138</v>
      </c>
      <c r="DM24" s="54" t="s">
        <v>138</v>
      </c>
      <c r="DN24" s="54" t="s">
        <v>48</v>
      </c>
      <c r="DO24" s="54" t="s">
        <v>48</v>
      </c>
      <c r="DP24" s="54" t="s">
        <v>48</v>
      </c>
      <c r="DQ24" s="54" t="s">
        <v>138</v>
      </c>
      <c r="DR24" s="54" t="s">
        <v>48</v>
      </c>
      <c r="DS24" s="54" t="s">
        <v>48</v>
      </c>
      <c r="DT24" s="54" t="s">
        <v>48</v>
      </c>
      <c r="DU24" s="54" t="s">
        <v>48</v>
      </c>
      <c r="DV24" s="54" t="s">
        <v>48</v>
      </c>
      <c r="DW24" s="54" t="s">
        <v>138</v>
      </c>
      <c r="DX24" s="54"/>
      <c r="DY24" s="54" t="s">
        <v>138</v>
      </c>
      <c r="DZ24" s="54"/>
      <c r="EA24" s="54"/>
      <c r="EB24" s="54"/>
      <c r="EC24" s="54"/>
      <c r="ED24" s="54"/>
      <c r="EE24" s="54" t="s">
        <v>48</v>
      </c>
      <c r="EF24" s="54" t="s">
        <v>48</v>
      </c>
      <c r="EG24" s="54" t="s">
        <v>48</v>
      </c>
      <c r="EH24" s="54" t="s">
        <v>48</v>
      </c>
      <c r="EI24" s="54" t="s">
        <v>48</v>
      </c>
      <c r="EJ24" s="54" t="s">
        <v>48</v>
      </c>
      <c r="EK24" s="54" t="s">
        <v>48</v>
      </c>
      <c r="EL24" s="54" t="s">
        <v>48</v>
      </c>
      <c r="EM24" s="54" t="s">
        <v>48</v>
      </c>
      <c r="EN24" s="54" t="s">
        <v>48</v>
      </c>
      <c r="EO24" s="54" t="s">
        <v>48</v>
      </c>
      <c r="EP24" s="54" t="s">
        <v>138</v>
      </c>
      <c r="EQ24" s="54" t="s">
        <v>48</v>
      </c>
      <c r="ER24" s="54" t="s">
        <v>48</v>
      </c>
      <c r="ES24" s="54" t="s">
        <v>48</v>
      </c>
      <c r="ET24" s="54" t="s">
        <v>48</v>
      </c>
      <c r="EU24" s="54" t="s">
        <v>48</v>
      </c>
      <c r="EV24" s="54" t="s">
        <v>48</v>
      </c>
      <c r="EW24" s="54" t="s">
        <v>48</v>
      </c>
      <c r="EX24" s="54" t="s">
        <v>48</v>
      </c>
      <c r="EY24" s="54" t="s">
        <v>48</v>
      </c>
      <c r="EZ24" s="54" t="s">
        <v>48</v>
      </c>
      <c r="FA24" s="54" t="s">
        <v>48</v>
      </c>
      <c r="FB24" s="54" t="s">
        <v>48</v>
      </c>
      <c r="FC24" s="54" t="s">
        <v>48</v>
      </c>
      <c r="FD24" s="54" t="s">
        <v>48</v>
      </c>
      <c r="FE24" s="54" t="s">
        <v>48</v>
      </c>
      <c r="FF24" s="54" t="s">
        <v>48</v>
      </c>
      <c r="FG24" s="54" t="s">
        <v>48</v>
      </c>
      <c r="FH24" s="54" t="s">
        <v>48</v>
      </c>
      <c r="FI24" s="54" t="s">
        <v>48</v>
      </c>
      <c r="FJ24" s="54" t="s">
        <v>48</v>
      </c>
      <c r="FK24" s="54" t="s">
        <v>48</v>
      </c>
      <c r="FL24" s="54" t="s">
        <v>48</v>
      </c>
      <c r="FM24" s="54" t="s">
        <v>48</v>
      </c>
      <c r="FN24" s="54" t="s">
        <v>48</v>
      </c>
      <c r="FO24" s="54" t="s">
        <v>48</v>
      </c>
      <c r="FP24" s="54" t="s">
        <v>48</v>
      </c>
      <c r="FQ24" s="54" t="s">
        <v>48</v>
      </c>
      <c r="FR24" s="54" t="s">
        <v>48</v>
      </c>
      <c r="FS24" s="54" t="s">
        <v>48</v>
      </c>
      <c r="FT24" s="54" t="s">
        <v>48</v>
      </c>
      <c r="FU24" s="54" t="s">
        <v>48</v>
      </c>
      <c r="FV24" s="54" t="s">
        <v>48</v>
      </c>
      <c r="FW24" s="54" t="s">
        <v>48</v>
      </c>
      <c r="FX24" s="54" t="s">
        <v>48</v>
      </c>
      <c r="FY24" s="54" t="s">
        <v>48</v>
      </c>
      <c r="FZ24" s="54" t="s">
        <v>48</v>
      </c>
      <c r="GA24" s="54" t="s">
        <v>48</v>
      </c>
      <c r="GB24" s="54" t="s">
        <v>48</v>
      </c>
      <c r="GC24" s="54" t="s">
        <v>48</v>
      </c>
      <c r="GD24" s="54" t="s">
        <v>48</v>
      </c>
      <c r="GE24" s="54" t="s">
        <v>48</v>
      </c>
      <c r="GF24" s="54" t="s">
        <v>48</v>
      </c>
      <c r="GG24" s="54" t="s">
        <v>48</v>
      </c>
      <c r="GH24" s="54" t="s">
        <v>48</v>
      </c>
      <c r="GI24" s="54" t="s">
        <v>48</v>
      </c>
      <c r="GJ24" s="54" t="s">
        <v>48</v>
      </c>
      <c r="GK24" s="54" t="s">
        <v>48</v>
      </c>
      <c r="GL24" s="54" t="s">
        <v>48</v>
      </c>
      <c r="GM24" s="54" t="s">
        <v>48</v>
      </c>
      <c r="GN24" s="54" t="s">
        <v>48</v>
      </c>
      <c r="GO24" s="54" t="s">
        <v>48</v>
      </c>
      <c r="GP24" s="54" t="s">
        <v>48</v>
      </c>
      <c r="GQ24" s="54" t="s">
        <v>48</v>
      </c>
      <c r="GR24" s="54" t="s">
        <v>48</v>
      </c>
      <c r="GS24" s="54" t="s">
        <v>48</v>
      </c>
      <c r="GT24" s="54" t="s">
        <v>48</v>
      </c>
      <c r="GU24" s="54" t="s">
        <v>48</v>
      </c>
      <c r="GV24" s="54" t="s">
        <v>48</v>
      </c>
    </row>
    <row r="25">
      <c r="A25" s="59"/>
      <c r="B25" s="58" t="s">
        <v>689</v>
      </c>
      <c r="D25" s="53" t="str">
        <f t="array" ref="D25">IF('Wątki'!B26=$A$1,INDIRECT("Klasa"),IF('Wątki'!B26=$A$2,INDIRECT("Grupa"),IF('Wątki'!B26=$A$3,INDIRECT("Postać"),"Nie")))</f>
        <v>Nie</v>
      </c>
      <c r="E25" s="53"/>
      <c r="F25" s="54" t="s">
        <v>51</v>
      </c>
      <c r="G25" s="54" t="s">
        <v>51</v>
      </c>
      <c r="H25" s="54" t="s">
        <v>51</v>
      </c>
      <c r="I25" s="54"/>
      <c r="J25" s="54" t="s">
        <v>51</v>
      </c>
      <c r="K25" s="54" t="s">
        <v>51</v>
      </c>
      <c r="L25" s="54" t="s">
        <v>51</v>
      </c>
      <c r="M25" s="54" t="s">
        <v>51</v>
      </c>
      <c r="N25" s="54" t="s">
        <v>51</v>
      </c>
      <c r="O25" s="54" t="s">
        <v>51</v>
      </c>
      <c r="P25" s="54" t="s">
        <v>51</v>
      </c>
      <c r="Q25" s="54" t="s">
        <v>51</v>
      </c>
      <c r="R25" s="54" t="s">
        <v>51</v>
      </c>
      <c r="S25" s="54" t="s">
        <v>51</v>
      </c>
      <c r="T25" s="54" t="s">
        <v>51</v>
      </c>
      <c r="U25" s="54" t="s">
        <v>51</v>
      </c>
      <c r="V25" s="54" t="s">
        <v>140</v>
      </c>
      <c r="W25" s="54" t="s">
        <v>51</v>
      </c>
      <c r="X25" s="54" t="s">
        <v>51</v>
      </c>
      <c r="Y25" s="54" t="s">
        <v>51</v>
      </c>
      <c r="Z25" s="54" t="s">
        <v>51</v>
      </c>
      <c r="AA25" s="54"/>
      <c r="AB25" s="54" t="s">
        <v>51</v>
      </c>
      <c r="AC25" s="54" t="s">
        <v>51</v>
      </c>
      <c r="AD25" s="54" t="s">
        <v>51</v>
      </c>
      <c r="AE25" s="54" t="s">
        <v>51</v>
      </c>
      <c r="AF25" s="54" t="s">
        <v>51</v>
      </c>
      <c r="AG25" s="54" t="s">
        <v>51</v>
      </c>
      <c r="AH25" s="54" t="s">
        <v>51</v>
      </c>
      <c r="AI25" s="54" t="s">
        <v>51</v>
      </c>
      <c r="AJ25" s="54" t="s">
        <v>51</v>
      </c>
      <c r="AK25" s="54" t="s">
        <v>51</v>
      </c>
      <c r="AL25" s="54" t="s">
        <v>140</v>
      </c>
      <c r="AM25" s="54" t="s">
        <v>51</v>
      </c>
      <c r="AN25" s="54" t="s">
        <v>51</v>
      </c>
      <c r="AO25" s="54" t="s">
        <v>51</v>
      </c>
      <c r="AP25" s="54" t="s">
        <v>51</v>
      </c>
      <c r="AQ25" s="54" t="s">
        <v>51</v>
      </c>
      <c r="AR25" s="54" t="s">
        <v>51</v>
      </c>
      <c r="AS25" s="54" t="s">
        <v>51</v>
      </c>
      <c r="AT25" s="54" t="s">
        <v>51</v>
      </c>
      <c r="AU25" s="54" t="s">
        <v>51</v>
      </c>
      <c r="AV25" s="54" t="s">
        <v>140</v>
      </c>
      <c r="AW25" s="54" t="s">
        <v>51</v>
      </c>
      <c r="AX25" s="54" t="s">
        <v>140</v>
      </c>
      <c r="AY25" s="54" t="s">
        <v>140</v>
      </c>
      <c r="AZ25" s="54" t="s">
        <v>140</v>
      </c>
      <c r="BA25" s="54" t="s">
        <v>140</v>
      </c>
      <c r="BB25" s="54" t="s">
        <v>140</v>
      </c>
      <c r="BC25" s="54" t="s">
        <v>140</v>
      </c>
      <c r="BD25" s="54" t="s">
        <v>140</v>
      </c>
      <c r="BE25" s="54" t="s">
        <v>140</v>
      </c>
      <c r="BF25" s="54" t="s">
        <v>140</v>
      </c>
      <c r="BG25" s="54" t="s">
        <v>140</v>
      </c>
      <c r="BH25" s="54" t="s">
        <v>140</v>
      </c>
      <c r="BI25" s="54" t="s">
        <v>140</v>
      </c>
      <c r="BJ25" s="54" t="s">
        <v>140</v>
      </c>
      <c r="BK25" s="54" t="s">
        <v>140</v>
      </c>
      <c r="BL25" s="54" t="s">
        <v>140</v>
      </c>
      <c r="BM25" s="54" t="s">
        <v>140</v>
      </c>
      <c r="BN25" s="54" t="s">
        <v>140</v>
      </c>
      <c r="BO25" s="54" t="s">
        <v>140</v>
      </c>
      <c r="BP25" s="54" t="s">
        <v>140</v>
      </c>
      <c r="BQ25" s="54" t="s">
        <v>51</v>
      </c>
      <c r="BR25" s="54" t="s">
        <v>51</v>
      </c>
      <c r="BS25" s="54" t="s">
        <v>51</v>
      </c>
      <c r="BT25" s="54" t="s">
        <v>140</v>
      </c>
      <c r="BU25" s="54" t="s">
        <v>51</v>
      </c>
      <c r="BV25" s="54" t="s">
        <v>51</v>
      </c>
      <c r="BW25" s="54" t="s">
        <v>140</v>
      </c>
      <c r="BX25" s="54" t="s">
        <v>51</v>
      </c>
      <c r="BY25" s="54" t="s">
        <v>51</v>
      </c>
      <c r="BZ25" s="54" t="s">
        <v>51</v>
      </c>
      <c r="CA25" s="54" t="s">
        <v>51</v>
      </c>
      <c r="CB25" s="54" t="s">
        <v>51</v>
      </c>
      <c r="CC25" s="54" t="s">
        <v>51</v>
      </c>
      <c r="CD25" s="54" t="s">
        <v>51</v>
      </c>
      <c r="CE25" s="54" t="s">
        <v>51</v>
      </c>
      <c r="CF25" s="54" t="s">
        <v>140</v>
      </c>
      <c r="CG25" s="54" t="s">
        <v>51</v>
      </c>
      <c r="CH25" s="54" t="s">
        <v>51</v>
      </c>
      <c r="CI25" s="54" t="s">
        <v>51</v>
      </c>
      <c r="CJ25" s="54" t="s">
        <v>51</v>
      </c>
      <c r="CK25" s="54" t="s">
        <v>51</v>
      </c>
      <c r="CL25" s="54" t="s">
        <v>51</v>
      </c>
      <c r="CM25" s="54" t="s">
        <v>140</v>
      </c>
      <c r="CN25" s="54"/>
      <c r="CO25" s="54" t="s">
        <v>51</v>
      </c>
      <c r="CP25" s="54" t="s">
        <v>51</v>
      </c>
      <c r="CQ25" s="54" t="s">
        <v>51</v>
      </c>
      <c r="CR25" s="54" t="s">
        <v>51</v>
      </c>
      <c r="CS25" s="54" t="s">
        <v>140</v>
      </c>
      <c r="CT25" s="54" t="s">
        <v>140</v>
      </c>
      <c r="CU25" s="54" t="s">
        <v>51</v>
      </c>
      <c r="CV25" s="54" t="s">
        <v>140</v>
      </c>
      <c r="CW25" s="54" t="s">
        <v>51</v>
      </c>
      <c r="CX25" s="54" t="s">
        <v>51</v>
      </c>
      <c r="CY25" s="54" t="s">
        <v>51</v>
      </c>
      <c r="CZ25" s="54"/>
      <c r="DA25" s="54" t="s">
        <v>51</v>
      </c>
      <c r="DB25" s="54" t="s">
        <v>51</v>
      </c>
      <c r="DC25" s="54" t="s">
        <v>140</v>
      </c>
      <c r="DD25" s="54" t="s">
        <v>140</v>
      </c>
      <c r="DE25" s="54" t="s">
        <v>140</v>
      </c>
      <c r="DF25" s="54" t="s">
        <v>51</v>
      </c>
      <c r="DG25" s="54" t="s">
        <v>51</v>
      </c>
      <c r="DH25" s="54" t="s">
        <v>51</v>
      </c>
      <c r="DI25" s="54" t="s">
        <v>51</v>
      </c>
      <c r="DJ25" s="54" t="s">
        <v>51</v>
      </c>
      <c r="DK25" s="54" t="s">
        <v>140</v>
      </c>
      <c r="DL25" s="54" t="s">
        <v>140</v>
      </c>
      <c r="DM25" s="54" t="s">
        <v>140</v>
      </c>
      <c r="DN25" s="54" t="s">
        <v>51</v>
      </c>
      <c r="DO25" s="54" t="s">
        <v>51</v>
      </c>
      <c r="DP25" s="54" t="s">
        <v>51</v>
      </c>
      <c r="DQ25" s="54" t="s">
        <v>140</v>
      </c>
      <c r="DR25" s="54" t="s">
        <v>51</v>
      </c>
      <c r="DS25" s="54" t="s">
        <v>51</v>
      </c>
      <c r="DT25" s="54" t="s">
        <v>51</v>
      </c>
      <c r="DU25" s="54" t="s">
        <v>51</v>
      </c>
      <c r="DV25" s="54" t="s">
        <v>51</v>
      </c>
      <c r="DW25" s="54" t="s">
        <v>140</v>
      </c>
      <c r="DX25" s="54"/>
      <c r="DY25" s="54" t="s">
        <v>140</v>
      </c>
      <c r="DZ25" s="54"/>
      <c r="EA25" s="54"/>
      <c r="EB25" s="54"/>
      <c r="EC25" s="54"/>
      <c r="ED25" s="54"/>
      <c r="EE25" s="54" t="s">
        <v>51</v>
      </c>
      <c r="EF25" s="54" t="s">
        <v>51</v>
      </c>
      <c r="EG25" s="54" t="s">
        <v>51</v>
      </c>
      <c r="EH25" s="54" t="s">
        <v>51</v>
      </c>
      <c r="EI25" s="54" t="s">
        <v>51</v>
      </c>
      <c r="EJ25" s="54" t="s">
        <v>51</v>
      </c>
      <c r="EK25" s="54" t="s">
        <v>51</v>
      </c>
      <c r="EL25" s="54" t="s">
        <v>51</v>
      </c>
      <c r="EM25" s="54" t="s">
        <v>51</v>
      </c>
      <c r="EN25" s="54" t="s">
        <v>51</v>
      </c>
      <c r="EO25" s="54" t="s">
        <v>51</v>
      </c>
      <c r="EP25" s="54" t="s">
        <v>140</v>
      </c>
      <c r="EQ25" s="54" t="s">
        <v>51</v>
      </c>
      <c r="ER25" s="54" t="s">
        <v>51</v>
      </c>
      <c r="ES25" s="54" t="s">
        <v>51</v>
      </c>
      <c r="ET25" s="54" t="s">
        <v>51</v>
      </c>
      <c r="EU25" s="54" t="s">
        <v>51</v>
      </c>
      <c r="EV25" s="54" t="s">
        <v>51</v>
      </c>
      <c r="EW25" s="54" t="s">
        <v>51</v>
      </c>
      <c r="EX25" s="54" t="s">
        <v>51</v>
      </c>
      <c r="EY25" s="54" t="s">
        <v>51</v>
      </c>
      <c r="EZ25" s="54" t="s">
        <v>51</v>
      </c>
      <c r="FA25" s="54" t="s">
        <v>51</v>
      </c>
      <c r="FB25" s="54" t="s">
        <v>51</v>
      </c>
      <c r="FC25" s="54" t="s">
        <v>51</v>
      </c>
      <c r="FD25" s="54" t="s">
        <v>51</v>
      </c>
      <c r="FE25" s="54" t="s">
        <v>51</v>
      </c>
      <c r="FF25" s="54" t="s">
        <v>51</v>
      </c>
      <c r="FG25" s="54" t="s">
        <v>51</v>
      </c>
      <c r="FH25" s="54" t="s">
        <v>51</v>
      </c>
      <c r="FI25" s="54" t="s">
        <v>51</v>
      </c>
      <c r="FJ25" s="54" t="s">
        <v>51</v>
      </c>
      <c r="FK25" s="54" t="s">
        <v>51</v>
      </c>
      <c r="FL25" s="54" t="s">
        <v>51</v>
      </c>
      <c r="FM25" s="54" t="s">
        <v>51</v>
      </c>
      <c r="FN25" s="54" t="s">
        <v>51</v>
      </c>
      <c r="FO25" s="54" t="s">
        <v>51</v>
      </c>
      <c r="FP25" s="54" t="s">
        <v>51</v>
      </c>
      <c r="FQ25" s="54" t="s">
        <v>51</v>
      </c>
      <c r="FR25" s="54" t="s">
        <v>51</v>
      </c>
      <c r="FS25" s="54" t="s">
        <v>51</v>
      </c>
      <c r="FT25" s="54" t="s">
        <v>51</v>
      </c>
      <c r="FU25" s="54" t="s">
        <v>51</v>
      </c>
      <c r="FV25" s="54" t="s">
        <v>51</v>
      </c>
      <c r="FW25" s="54" t="s">
        <v>51</v>
      </c>
      <c r="FX25" s="54" t="s">
        <v>51</v>
      </c>
      <c r="FY25" s="54" t="s">
        <v>51</v>
      </c>
      <c r="FZ25" s="54" t="s">
        <v>51</v>
      </c>
      <c r="GA25" s="54" t="s">
        <v>51</v>
      </c>
      <c r="GB25" s="54" t="s">
        <v>51</v>
      </c>
      <c r="GC25" s="54" t="s">
        <v>51</v>
      </c>
      <c r="GD25" s="54" t="s">
        <v>51</v>
      </c>
      <c r="GE25" s="54" t="s">
        <v>51</v>
      </c>
      <c r="GF25" s="54" t="s">
        <v>51</v>
      </c>
      <c r="GG25" s="54" t="s">
        <v>51</v>
      </c>
      <c r="GH25" s="54" t="s">
        <v>51</v>
      </c>
      <c r="GI25" s="54" t="s">
        <v>51</v>
      </c>
      <c r="GJ25" s="54" t="s">
        <v>51</v>
      </c>
      <c r="GK25" s="54" t="s">
        <v>51</v>
      </c>
      <c r="GL25" s="54" t="s">
        <v>51</v>
      </c>
      <c r="GM25" s="54" t="s">
        <v>51</v>
      </c>
      <c r="GN25" s="54" t="s">
        <v>51</v>
      </c>
      <c r="GO25" s="54" t="s">
        <v>51</v>
      </c>
      <c r="GP25" s="54" t="s">
        <v>51</v>
      </c>
      <c r="GQ25" s="54" t="s">
        <v>51</v>
      </c>
      <c r="GR25" s="54" t="s">
        <v>51</v>
      </c>
      <c r="GS25" s="54" t="s">
        <v>51</v>
      </c>
      <c r="GT25" s="54" t="s">
        <v>51</v>
      </c>
      <c r="GU25" s="54" t="s">
        <v>51</v>
      </c>
      <c r="GV25" s="54" t="s">
        <v>51</v>
      </c>
    </row>
    <row r="26">
      <c r="A26" s="59"/>
      <c r="B26" s="58" t="s">
        <v>31</v>
      </c>
      <c r="D26" s="53" t="str">
        <f t="array" ref="D26">IF('Wątki'!B27=$A$1,INDIRECT("Klasa"),IF('Wątki'!B27=$A$2,INDIRECT("Grupa"),IF('Wątki'!B27=$A$3,INDIRECT("Postać"),"Nie")))</f>
        <v>Nie</v>
      </c>
      <c r="E26" s="53"/>
      <c r="F26" s="54" t="s">
        <v>52</v>
      </c>
      <c r="G26" s="54" t="s">
        <v>52</v>
      </c>
      <c r="H26" s="54" t="s">
        <v>52</v>
      </c>
      <c r="I26" s="54"/>
      <c r="J26" s="54" t="s">
        <v>52</v>
      </c>
      <c r="K26" s="54" t="s">
        <v>52</v>
      </c>
      <c r="L26" s="54" t="s">
        <v>52</v>
      </c>
      <c r="M26" s="54" t="s">
        <v>52</v>
      </c>
      <c r="N26" s="54" t="s">
        <v>52</v>
      </c>
      <c r="O26" s="54" t="s">
        <v>52</v>
      </c>
      <c r="P26" s="54" t="s">
        <v>52</v>
      </c>
      <c r="Q26" s="54" t="s">
        <v>52</v>
      </c>
      <c r="R26" s="54" t="s">
        <v>52</v>
      </c>
      <c r="S26" s="54" t="s">
        <v>52</v>
      </c>
      <c r="T26" s="54" t="s">
        <v>52</v>
      </c>
      <c r="U26" s="54" t="s">
        <v>52</v>
      </c>
      <c r="V26" s="54" t="s">
        <v>142</v>
      </c>
      <c r="W26" s="54" t="s">
        <v>52</v>
      </c>
      <c r="X26" s="54" t="s">
        <v>52</v>
      </c>
      <c r="Y26" s="54" t="s">
        <v>52</v>
      </c>
      <c r="Z26" s="54" t="s">
        <v>52</v>
      </c>
      <c r="AA26" s="54"/>
      <c r="AB26" s="54" t="s">
        <v>52</v>
      </c>
      <c r="AC26" s="54" t="s">
        <v>52</v>
      </c>
      <c r="AD26" s="54" t="s">
        <v>52</v>
      </c>
      <c r="AE26" s="54" t="s">
        <v>52</v>
      </c>
      <c r="AF26" s="54" t="s">
        <v>52</v>
      </c>
      <c r="AG26" s="54" t="s">
        <v>52</v>
      </c>
      <c r="AH26" s="54" t="s">
        <v>52</v>
      </c>
      <c r="AI26" s="54" t="s">
        <v>52</v>
      </c>
      <c r="AJ26" s="54" t="s">
        <v>52</v>
      </c>
      <c r="AK26" s="54" t="s">
        <v>52</v>
      </c>
      <c r="AL26" s="54" t="s">
        <v>142</v>
      </c>
      <c r="AM26" s="54" t="s">
        <v>52</v>
      </c>
      <c r="AN26" s="54" t="s">
        <v>52</v>
      </c>
      <c r="AO26" s="54" t="s">
        <v>52</v>
      </c>
      <c r="AP26" s="54" t="s">
        <v>52</v>
      </c>
      <c r="AQ26" s="54" t="s">
        <v>52</v>
      </c>
      <c r="AR26" s="54" t="s">
        <v>52</v>
      </c>
      <c r="AS26" s="54" t="s">
        <v>52</v>
      </c>
      <c r="AT26" s="54" t="s">
        <v>52</v>
      </c>
      <c r="AU26" s="54" t="s">
        <v>52</v>
      </c>
      <c r="AV26" s="54" t="s">
        <v>142</v>
      </c>
      <c r="AW26" s="54" t="s">
        <v>52</v>
      </c>
      <c r="AX26" s="54" t="s">
        <v>142</v>
      </c>
      <c r="AY26" s="54" t="s">
        <v>142</v>
      </c>
      <c r="AZ26" s="54" t="s">
        <v>142</v>
      </c>
      <c r="BA26" s="54" t="s">
        <v>142</v>
      </c>
      <c r="BB26" s="54" t="s">
        <v>142</v>
      </c>
      <c r="BC26" s="54" t="s">
        <v>142</v>
      </c>
      <c r="BD26" s="54" t="s">
        <v>142</v>
      </c>
      <c r="BE26" s="54" t="s">
        <v>142</v>
      </c>
      <c r="BF26" s="54" t="s">
        <v>142</v>
      </c>
      <c r="BG26" s="54" t="s">
        <v>142</v>
      </c>
      <c r="BH26" s="54" t="s">
        <v>142</v>
      </c>
      <c r="BI26" s="54" t="s">
        <v>142</v>
      </c>
      <c r="BJ26" s="54" t="s">
        <v>142</v>
      </c>
      <c r="BK26" s="54" t="s">
        <v>142</v>
      </c>
      <c r="BL26" s="54" t="s">
        <v>142</v>
      </c>
      <c r="BM26" s="54" t="s">
        <v>142</v>
      </c>
      <c r="BN26" s="54" t="s">
        <v>142</v>
      </c>
      <c r="BO26" s="54" t="s">
        <v>142</v>
      </c>
      <c r="BP26" s="54" t="s">
        <v>142</v>
      </c>
      <c r="BQ26" s="54" t="s">
        <v>52</v>
      </c>
      <c r="BR26" s="54" t="s">
        <v>52</v>
      </c>
      <c r="BS26" s="54" t="s">
        <v>52</v>
      </c>
      <c r="BT26" s="54" t="s">
        <v>142</v>
      </c>
      <c r="BU26" s="54" t="s">
        <v>52</v>
      </c>
      <c r="BV26" s="54" t="s">
        <v>52</v>
      </c>
      <c r="BW26" s="54" t="s">
        <v>142</v>
      </c>
      <c r="BX26" s="54" t="s">
        <v>52</v>
      </c>
      <c r="BY26" s="54" t="s">
        <v>52</v>
      </c>
      <c r="BZ26" s="54" t="s">
        <v>52</v>
      </c>
      <c r="CA26" s="54" t="s">
        <v>52</v>
      </c>
      <c r="CB26" s="54" t="s">
        <v>52</v>
      </c>
      <c r="CC26" s="54" t="s">
        <v>52</v>
      </c>
      <c r="CD26" s="54" t="s">
        <v>52</v>
      </c>
      <c r="CE26" s="54" t="s">
        <v>52</v>
      </c>
      <c r="CF26" s="54" t="s">
        <v>142</v>
      </c>
      <c r="CG26" s="54" t="s">
        <v>52</v>
      </c>
      <c r="CH26" s="54" t="s">
        <v>52</v>
      </c>
      <c r="CI26" s="54" t="s">
        <v>52</v>
      </c>
      <c r="CJ26" s="54" t="s">
        <v>52</v>
      </c>
      <c r="CK26" s="54" t="s">
        <v>52</v>
      </c>
      <c r="CL26" s="54" t="s">
        <v>52</v>
      </c>
      <c r="CM26" s="54" t="s">
        <v>142</v>
      </c>
      <c r="CN26" s="54"/>
      <c r="CO26" s="54" t="s">
        <v>52</v>
      </c>
      <c r="CP26" s="54" t="s">
        <v>52</v>
      </c>
      <c r="CQ26" s="54" t="s">
        <v>52</v>
      </c>
      <c r="CR26" s="54" t="s">
        <v>52</v>
      </c>
      <c r="CS26" s="54" t="s">
        <v>142</v>
      </c>
      <c r="CT26" s="54" t="s">
        <v>142</v>
      </c>
      <c r="CU26" s="54" t="s">
        <v>52</v>
      </c>
      <c r="CV26" s="54" t="s">
        <v>142</v>
      </c>
      <c r="CW26" s="54" t="s">
        <v>52</v>
      </c>
      <c r="CX26" s="54" t="s">
        <v>52</v>
      </c>
      <c r="CY26" s="54" t="s">
        <v>52</v>
      </c>
      <c r="CZ26" s="54"/>
      <c r="DA26" s="54" t="s">
        <v>52</v>
      </c>
      <c r="DB26" s="54" t="s">
        <v>52</v>
      </c>
      <c r="DC26" s="54" t="s">
        <v>142</v>
      </c>
      <c r="DD26" s="54" t="s">
        <v>142</v>
      </c>
      <c r="DE26" s="54" t="s">
        <v>142</v>
      </c>
      <c r="DF26" s="54" t="s">
        <v>52</v>
      </c>
      <c r="DG26" s="54" t="s">
        <v>52</v>
      </c>
      <c r="DH26" s="54" t="s">
        <v>52</v>
      </c>
      <c r="DI26" s="54" t="s">
        <v>52</v>
      </c>
      <c r="DJ26" s="54" t="s">
        <v>52</v>
      </c>
      <c r="DK26" s="54" t="s">
        <v>142</v>
      </c>
      <c r="DL26" s="54" t="s">
        <v>142</v>
      </c>
      <c r="DM26" s="54" t="s">
        <v>142</v>
      </c>
      <c r="DN26" s="54" t="s">
        <v>52</v>
      </c>
      <c r="DO26" s="54" t="s">
        <v>52</v>
      </c>
      <c r="DP26" s="54" t="s">
        <v>52</v>
      </c>
      <c r="DQ26" s="54" t="s">
        <v>142</v>
      </c>
      <c r="DR26" s="54" t="s">
        <v>52</v>
      </c>
      <c r="DS26" s="54" t="s">
        <v>52</v>
      </c>
      <c r="DT26" s="54" t="s">
        <v>52</v>
      </c>
      <c r="DU26" s="54" t="s">
        <v>52</v>
      </c>
      <c r="DV26" s="54" t="s">
        <v>52</v>
      </c>
      <c r="DW26" s="54" t="s">
        <v>142</v>
      </c>
      <c r="DX26" s="54"/>
      <c r="DY26" s="54" t="s">
        <v>142</v>
      </c>
      <c r="DZ26" s="54"/>
      <c r="EA26" s="54"/>
      <c r="EB26" s="54"/>
      <c r="EC26" s="54"/>
      <c r="ED26" s="54"/>
      <c r="EE26" s="54" t="s">
        <v>52</v>
      </c>
      <c r="EF26" s="54" t="s">
        <v>52</v>
      </c>
      <c r="EG26" s="54" t="s">
        <v>52</v>
      </c>
      <c r="EH26" s="54" t="s">
        <v>52</v>
      </c>
      <c r="EI26" s="54" t="s">
        <v>52</v>
      </c>
      <c r="EJ26" s="54" t="s">
        <v>52</v>
      </c>
      <c r="EK26" s="54" t="s">
        <v>52</v>
      </c>
      <c r="EL26" s="54" t="s">
        <v>52</v>
      </c>
      <c r="EM26" s="54" t="s">
        <v>52</v>
      </c>
      <c r="EN26" s="54" t="s">
        <v>52</v>
      </c>
      <c r="EO26" s="54" t="s">
        <v>52</v>
      </c>
      <c r="EP26" s="54" t="s">
        <v>142</v>
      </c>
      <c r="EQ26" s="54" t="s">
        <v>52</v>
      </c>
      <c r="ER26" s="54" t="s">
        <v>52</v>
      </c>
      <c r="ES26" s="54" t="s">
        <v>52</v>
      </c>
      <c r="ET26" s="54" t="s">
        <v>52</v>
      </c>
      <c r="EU26" s="54" t="s">
        <v>52</v>
      </c>
      <c r="EV26" s="54" t="s">
        <v>52</v>
      </c>
      <c r="EW26" s="54" t="s">
        <v>52</v>
      </c>
      <c r="EX26" s="54" t="s">
        <v>52</v>
      </c>
      <c r="EY26" s="54" t="s">
        <v>52</v>
      </c>
      <c r="EZ26" s="54" t="s">
        <v>52</v>
      </c>
      <c r="FA26" s="54" t="s">
        <v>52</v>
      </c>
      <c r="FB26" s="54" t="s">
        <v>52</v>
      </c>
      <c r="FC26" s="54" t="s">
        <v>52</v>
      </c>
      <c r="FD26" s="54" t="s">
        <v>52</v>
      </c>
      <c r="FE26" s="54" t="s">
        <v>52</v>
      </c>
      <c r="FF26" s="54" t="s">
        <v>52</v>
      </c>
      <c r="FG26" s="54" t="s">
        <v>52</v>
      </c>
      <c r="FH26" s="54" t="s">
        <v>52</v>
      </c>
      <c r="FI26" s="54" t="s">
        <v>52</v>
      </c>
      <c r="FJ26" s="54" t="s">
        <v>52</v>
      </c>
      <c r="FK26" s="54" t="s">
        <v>52</v>
      </c>
      <c r="FL26" s="54" t="s">
        <v>52</v>
      </c>
      <c r="FM26" s="54" t="s">
        <v>52</v>
      </c>
      <c r="FN26" s="54" t="s">
        <v>52</v>
      </c>
      <c r="FO26" s="54" t="s">
        <v>52</v>
      </c>
      <c r="FP26" s="54" t="s">
        <v>52</v>
      </c>
      <c r="FQ26" s="54" t="s">
        <v>52</v>
      </c>
      <c r="FR26" s="54" t="s">
        <v>52</v>
      </c>
      <c r="FS26" s="54" t="s">
        <v>52</v>
      </c>
      <c r="FT26" s="54" t="s">
        <v>52</v>
      </c>
      <c r="FU26" s="54" t="s">
        <v>52</v>
      </c>
      <c r="FV26" s="54" t="s">
        <v>52</v>
      </c>
      <c r="FW26" s="54" t="s">
        <v>52</v>
      </c>
      <c r="FX26" s="54" t="s">
        <v>52</v>
      </c>
      <c r="FY26" s="54" t="s">
        <v>52</v>
      </c>
      <c r="FZ26" s="54" t="s">
        <v>52</v>
      </c>
      <c r="GA26" s="54" t="s">
        <v>52</v>
      </c>
      <c r="GB26" s="54" t="s">
        <v>52</v>
      </c>
      <c r="GC26" s="54" t="s">
        <v>52</v>
      </c>
      <c r="GD26" s="54" t="s">
        <v>52</v>
      </c>
      <c r="GE26" s="54" t="s">
        <v>52</v>
      </c>
      <c r="GF26" s="54" t="s">
        <v>52</v>
      </c>
      <c r="GG26" s="54" t="s">
        <v>52</v>
      </c>
      <c r="GH26" s="54" t="s">
        <v>52</v>
      </c>
      <c r="GI26" s="54" t="s">
        <v>52</v>
      </c>
      <c r="GJ26" s="54" t="s">
        <v>52</v>
      </c>
      <c r="GK26" s="54" t="s">
        <v>52</v>
      </c>
      <c r="GL26" s="54" t="s">
        <v>52</v>
      </c>
      <c r="GM26" s="54" t="s">
        <v>52</v>
      </c>
      <c r="GN26" s="54" t="s">
        <v>52</v>
      </c>
      <c r="GO26" s="54" t="s">
        <v>52</v>
      </c>
      <c r="GP26" s="54" t="s">
        <v>52</v>
      </c>
      <c r="GQ26" s="54" t="s">
        <v>52</v>
      </c>
      <c r="GR26" s="54" t="s">
        <v>52</v>
      </c>
      <c r="GS26" s="54" t="s">
        <v>52</v>
      </c>
      <c r="GT26" s="54" t="s">
        <v>52</v>
      </c>
      <c r="GU26" s="54" t="s">
        <v>52</v>
      </c>
      <c r="GV26" s="54" t="s">
        <v>52</v>
      </c>
    </row>
    <row r="27">
      <c r="A27" s="59"/>
      <c r="B27" s="58" t="s">
        <v>73</v>
      </c>
      <c r="D27" s="53" t="str">
        <f t="array" ref="D27">IF('Wątki'!B28=$A$1,INDIRECT("Klasa"),IF('Wątki'!B28=$A$2,INDIRECT("Grupa"),IF('Wątki'!B28=$A$3,INDIRECT("Postać"),"Nie")))</f>
        <v>Nie</v>
      </c>
      <c r="E27" s="53"/>
      <c r="F27" s="54" t="s">
        <v>55</v>
      </c>
      <c r="G27" s="54" t="s">
        <v>55</v>
      </c>
      <c r="H27" s="54" t="s">
        <v>55</v>
      </c>
      <c r="I27" s="54"/>
      <c r="J27" s="54" t="s">
        <v>55</v>
      </c>
      <c r="K27" s="54" t="s">
        <v>55</v>
      </c>
      <c r="L27" s="54" t="s">
        <v>55</v>
      </c>
      <c r="M27" s="54" t="s">
        <v>55</v>
      </c>
      <c r="N27" s="54" t="s">
        <v>55</v>
      </c>
      <c r="O27" s="54" t="s">
        <v>55</v>
      </c>
      <c r="P27" s="54" t="s">
        <v>55</v>
      </c>
      <c r="Q27" s="54" t="s">
        <v>55</v>
      </c>
      <c r="R27" s="54" t="s">
        <v>55</v>
      </c>
      <c r="S27" s="54" t="s">
        <v>55</v>
      </c>
      <c r="T27" s="54" t="s">
        <v>55</v>
      </c>
      <c r="U27" s="54" t="s">
        <v>55</v>
      </c>
      <c r="V27" s="54" t="s">
        <v>144</v>
      </c>
      <c r="W27" s="54" t="s">
        <v>55</v>
      </c>
      <c r="X27" s="54" t="s">
        <v>55</v>
      </c>
      <c r="Y27" s="54" t="s">
        <v>55</v>
      </c>
      <c r="Z27" s="54" t="s">
        <v>55</v>
      </c>
      <c r="AA27" s="54"/>
      <c r="AB27" s="54" t="s">
        <v>55</v>
      </c>
      <c r="AC27" s="54" t="s">
        <v>55</v>
      </c>
      <c r="AD27" s="54" t="s">
        <v>55</v>
      </c>
      <c r="AE27" s="54" t="s">
        <v>55</v>
      </c>
      <c r="AF27" s="54" t="s">
        <v>55</v>
      </c>
      <c r="AG27" s="54" t="s">
        <v>55</v>
      </c>
      <c r="AH27" s="54" t="s">
        <v>55</v>
      </c>
      <c r="AI27" s="54" t="s">
        <v>55</v>
      </c>
      <c r="AJ27" s="54" t="s">
        <v>55</v>
      </c>
      <c r="AK27" s="54" t="s">
        <v>55</v>
      </c>
      <c r="AL27" s="54" t="s">
        <v>144</v>
      </c>
      <c r="AM27" s="54" t="s">
        <v>55</v>
      </c>
      <c r="AN27" s="54" t="s">
        <v>55</v>
      </c>
      <c r="AO27" s="54" t="s">
        <v>55</v>
      </c>
      <c r="AP27" s="54" t="s">
        <v>55</v>
      </c>
      <c r="AQ27" s="54" t="s">
        <v>55</v>
      </c>
      <c r="AR27" s="54" t="s">
        <v>55</v>
      </c>
      <c r="AS27" s="54" t="s">
        <v>55</v>
      </c>
      <c r="AT27" s="54" t="s">
        <v>55</v>
      </c>
      <c r="AU27" s="54" t="s">
        <v>55</v>
      </c>
      <c r="AV27" s="54" t="s">
        <v>144</v>
      </c>
      <c r="AW27" s="54" t="s">
        <v>55</v>
      </c>
      <c r="AX27" s="54" t="s">
        <v>144</v>
      </c>
      <c r="AY27" s="54" t="s">
        <v>144</v>
      </c>
      <c r="AZ27" s="54" t="s">
        <v>144</v>
      </c>
      <c r="BA27" s="54" t="s">
        <v>144</v>
      </c>
      <c r="BB27" s="54" t="s">
        <v>144</v>
      </c>
      <c r="BC27" s="54" t="s">
        <v>144</v>
      </c>
      <c r="BD27" s="54" t="s">
        <v>144</v>
      </c>
      <c r="BE27" s="54" t="s">
        <v>144</v>
      </c>
      <c r="BF27" s="54" t="s">
        <v>144</v>
      </c>
      <c r="BG27" s="54" t="s">
        <v>144</v>
      </c>
      <c r="BH27" s="54" t="s">
        <v>144</v>
      </c>
      <c r="BI27" s="54" t="s">
        <v>144</v>
      </c>
      <c r="BJ27" s="54" t="s">
        <v>144</v>
      </c>
      <c r="BK27" s="54" t="s">
        <v>144</v>
      </c>
      <c r="BL27" s="54" t="s">
        <v>144</v>
      </c>
      <c r="BM27" s="54" t="s">
        <v>144</v>
      </c>
      <c r="BN27" s="54" t="s">
        <v>144</v>
      </c>
      <c r="BO27" s="54" t="s">
        <v>144</v>
      </c>
      <c r="BP27" s="54" t="s">
        <v>144</v>
      </c>
      <c r="BQ27" s="54" t="s">
        <v>55</v>
      </c>
      <c r="BR27" s="54" t="s">
        <v>55</v>
      </c>
      <c r="BS27" s="54" t="s">
        <v>55</v>
      </c>
      <c r="BT27" s="54" t="s">
        <v>144</v>
      </c>
      <c r="BU27" s="54" t="s">
        <v>55</v>
      </c>
      <c r="BV27" s="54" t="s">
        <v>55</v>
      </c>
      <c r="BW27" s="54" t="s">
        <v>144</v>
      </c>
      <c r="BX27" s="54" t="s">
        <v>55</v>
      </c>
      <c r="BY27" s="54" t="s">
        <v>55</v>
      </c>
      <c r="BZ27" s="54" t="s">
        <v>55</v>
      </c>
      <c r="CA27" s="54" t="s">
        <v>55</v>
      </c>
      <c r="CB27" s="54" t="s">
        <v>55</v>
      </c>
      <c r="CC27" s="54" t="s">
        <v>55</v>
      </c>
      <c r="CD27" s="54" t="s">
        <v>55</v>
      </c>
      <c r="CE27" s="54" t="s">
        <v>55</v>
      </c>
      <c r="CF27" s="54" t="s">
        <v>144</v>
      </c>
      <c r="CG27" s="54" t="s">
        <v>55</v>
      </c>
      <c r="CH27" s="54" t="s">
        <v>55</v>
      </c>
      <c r="CI27" s="54" t="s">
        <v>55</v>
      </c>
      <c r="CJ27" s="54" t="s">
        <v>55</v>
      </c>
      <c r="CK27" s="54" t="s">
        <v>55</v>
      </c>
      <c r="CL27" s="54" t="s">
        <v>55</v>
      </c>
      <c r="CM27" s="54" t="s">
        <v>144</v>
      </c>
      <c r="CN27" s="54"/>
      <c r="CO27" s="54" t="s">
        <v>55</v>
      </c>
      <c r="CP27" s="54" t="s">
        <v>55</v>
      </c>
      <c r="CQ27" s="54" t="s">
        <v>55</v>
      </c>
      <c r="CR27" s="54" t="s">
        <v>55</v>
      </c>
      <c r="CS27" s="54" t="s">
        <v>144</v>
      </c>
      <c r="CT27" s="54" t="s">
        <v>144</v>
      </c>
      <c r="CU27" s="54" t="s">
        <v>55</v>
      </c>
      <c r="CV27" s="54" t="s">
        <v>144</v>
      </c>
      <c r="CW27" s="54" t="s">
        <v>55</v>
      </c>
      <c r="CX27" s="54" t="s">
        <v>55</v>
      </c>
      <c r="CY27" s="54" t="s">
        <v>55</v>
      </c>
      <c r="CZ27" s="54"/>
      <c r="DA27" s="54" t="s">
        <v>55</v>
      </c>
      <c r="DB27" s="54" t="s">
        <v>55</v>
      </c>
      <c r="DC27" s="54" t="s">
        <v>144</v>
      </c>
      <c r="DD27" s="54" t="s">
        <v>144</v>
      </c>
      <c r="DE27" s="54" t="s">
        <v>144</v>
      </c>
      <c r="DF27" s="54" t="s">
        <v>55</v>
      </c>
      <c r="DG27" s="54" t="s">
        <v>55</v>
      </c>
      <c r="DH27" s="54" t="s">
        <v>55</v>
      </c>
      <c r="DI27" s="54" t="s">
        <v>55</v>
      </c>
      <c r="DJ27" s="54" t="s">
        <v>55</v>
      </c>
      <c r="DK27" s="54" t="s">
        <v>144</v>
      </c>
      <c r="DL27" s="54" t="s">
        <v>144</v>
      </c>
      <c r="DM27" s="54" t="s">
        <v>144</v>
      </c>
      <c r="DN27" s="54" t="s">
        <v>55</v>
      </c>
      <c r="DO27" s="54" t="s">
        <v>55</v>
      </c>
      <c r="DP27" s="54" t="s">
        <v>55</v>
      </c>
      <c r="DQ27" s="54" t="s">
        <v>144</v>
      </c>
      <c r="DR27" s="54" t="s">
        <v>55</v>
      </c>
      <c r="DS27" s="54" t="s">
        <v>55</v>
      </c>
      <c r="DT27" s="54" t="s">
        <v>55</v>
      </c>
      <c r="DU27" s="54" t="s">
        <v>55</v>
      </c>
      <c r="DV27" s="54" t="s">
        <v>55</v>
      </c>
      <c r="DW27" s="54" t="s">
        <v>144</v>
      </c>
      <c r="DX27" s="54"/>
      <c r="DY27" s="54" t="s">
        <v>144</v>
      </c>
      <c r="DZ27" s="54"/>
      <c r="EA27" s="54"/>
      <c r="EB27" s="54"/>
      <c r="EC27" s="54"/>
      <c r="ED27" s="54"/>
      <c r="EE27" s="54" t="s">
        <v>55</v>
      </c>
      <c r="EF27" s="54" t="s">
        <v>55</v>
      </c>
      <c r="EG27" s="54" t="s">
        <v>55</v>
      </c>
      <c r="EH27" s="54" t="s">
        <v>55</v>
      </c>
      <c r="EI27" s="54" t="s">
        <v>55</v>
      </c>
      <c r="EJ27" s="54" t="s">
        <v>55</v>
      </c>
      <c r="EK27" s="54" t="s">
        <v>55</v>
      </c>
      <c r="EL27" s="54" t="s">
        <v>55</v>
      </c>
      <c r="EM27" s="54" t="s">
        <v>55</v>
      </c>
      <c r="EN27" s="54" t="s">
        <v>55</v>
      </c>
      <c r="EO27" s="54" t="s">
        <v>55</v>
      </c>
      <c r="EP27" s="54" t="s">
        <v>144</v>
      </c>
      <c r="EQ27" s="54" t="s">
        <v>55</v>
      </c>
      <c r="ER27" s="54" t="s">
        <v>55</v>
      </c>
      <c r="ES27" s="54" t="s">
        <v>55</v>
      </c>
      <c r="ET27" s="54" t="s">
        <v>55</v>
      </c>
      <c r="EU27" s="54" t="s">
        <v>55</v>
      </c>
      <c r="EV27" s="54" t="s">
        <v>55</v>
      </c>
      <c r="EW27" s="54" t="s">
        <v>55</v>
      </c>
      <c r="EX27" s="54" t="s">
        <v>55</v>
      </c>
      <c r="EY27" s="54" t="s">
        <v>55</v>
      </c>
      <c r="EZ27" s="54" t="s">
        <v>55</v>
      </c>
      <c r="FA27" s="54" t="s">
        <v>55</v>
      </c>
      <c r="FB27" s="54" t="s">
        <v>55</v>
      </c>
      <c r="FC27" s="54" t="s">
        <v>55</v>
      </c>
      <c r="FD27" s="54" t="s">
        <v>55</v>
      </c>
      <c r="FE27" s="54" t="s">
        <v>55</v>
      </c>
      <c r="FF27" s="54" t="s">
        <v>55</v>
      </c>
      <c r="FG27" s="54" t="s">
        <v>55</v>
      </c>
      <c r="FH27" s="54" t="s">
        <v>55</v>
      </c>
      <c r="FI27" s="54" t="s">
        <v>55</v>
      </c>
      <c r="FJ27" s="54" t="s">
        <v>55</v>
      </c>
      <c r="FK27" s="54" t="s">
        <v>55</v>
      </c>
      <c r="FL27" s="54" t="s">
        <v>55</v>
      </c>
      <c r="FM27" s="54" t="s">
        <v>55</v>
      </c>
      <c r="FN27" s="54" t="s">
        <v>55</v>
      </c>
      <c r="FO27" s="54" t="s">
        <v>55</v>
      </c>
      <c r="FP27" s="54" t="s">
        <v>55</v>
      </c>
      <c r="FQ27" s="54" t="s">
        <v>55</v>
      </c>
      <c r="FR27" s="54" t="s">
        <v>55</v>
      </c>
      <c r="FS27" s="54" t="s">
        <v>55</v>
      </c>
      <c r="FT27" s="54" t="s">
        <v>55</v>
      </c>
      <c r="FU27" s="54" t="s">
        <v>55</v>
      </c>
      <c r="FV27" s="54" t="s">
        <v>55</v>
      </c>
      <c r="FW27" s="54" t="s">
        <v>55</v>
      </c>
      <c r="FX27" s="54" t="s">
        <v>55</v>
      </c>
      <c r="FY27" s="54" t="s">
        <v>55</v>
      </c>
      <c r="FZ27" s="54" t="s">
        <v>55</v>
      </c>
      <c r="GA27" s="54" t="s">
        <v>55</v>
      </c>
      <c r="GB27" s="54" t="s">
        <v>55</v>
      </c>
      <c r="GC27" s="54" t="s">
        <v>55</v>
      </c>
      <c r="GD27" s="54" t="s">
        <v>55</v>
      </c>
      <c r="GE27" s="54" t="s">
        <v>55</v>
      </c>
      <c r="GF27" s="54" t="s">
        <v>55</v>
      </c>
      <c r="GG27" s="54" t="s">
        <v>55</v>
      </c>
      <c r="GH27" s="54" t="s">
        <v>55</v>
      </c>
      <c r="GI27" s="54" t="s">
        <v>55</v>
      </c>
      <c r="GJ27" s="54" t="s">
        <v>55</v>
      </c>
      <c r="GK27" s="54" t="s">
        <v>55</v>
      </c>
      <c r="GL27" s="54" t="s">
        <v>55</v>
      </c>
      <c r="GM27" s="54" t="s">
        <v>55</v>
      </c>
      <c r="GN27" s="54" t="s">
        <v>55</v>
      </c>
      <c r="GO27" s="54" t="s">
        <v>55</v>
      </c>
      <c r="GP27" s="54" t="s">
        <v>55</v>
      </c>
      <c r="GQ27" s="54" t="s">
        <v>55</v>
      </c>
      <c r="GR27" s="54" t="s">
        <v>55</v>
      </c>
      <c r="GS27" s="54" t="s">
        <v>55</v>
      </c>
      <c r="GT27" s="54" t="s">
        <v>55</v>
      </c>
      <c r="GU27" s="54" t="s">
        <v>55</v>
      </c>
      <c r="GV27" s="54" t="s">
        <v>55</v>
      </c>
    </row>
    <row r="28">
      <c r="A28" s="59"/>
      <c r="B28" s="58" t="s">
        <v>18</v>
      </c>
      <c r="D28" s="53" t="str">
        <f t="array" ref="D28">IF('Wątki'!B29=$A$1,INDIRECT("Klasa"),IF('Wątki'!B29=$A$2,INDIRECT("Grupa"),IF('Wątki'!B29=$A$3,INDIRECT("Postać"),"Nie")))</f>
        <v>Nie</v>
      </c>
      <c r="E28" s="53"/>
      <c r="F28" s="54" t="s">
        <v>57</v>
      </c>
      <c r="G28" s="54" t="s">
        <v>57</v>
      </c>
      <c r="H28" s="54" t="s">
        <v>57</v>
      </c>
      <c r="I28" s="54"/>
      <c r="J28" s="54" t="s">
        <v>57</v>
      </c>
      <c r="K28" s="54" t="s">
        <v>57</v>
      </c>
      <c r="L28" s="54" t="s">
        <v>57</v>
      </c>
      <c r="M28" s="54" t="s">
        <v>57</v>
      </c>
      <c r="N28" s="54" t="s">
        <v>57</v>
      </c>
      <c r="O28" s="54" t="s">
        <v>57</v>
      </c>
      <c r="P28" s="54" t="s">
        <v>57</v>
      </c>
      <c r="Q28" s="54" t="s">
        <v>57</v>
      </c>
      <c r="R28" s="54" t="s">
        <v>57</v>
      </c>
      <c r="S28" s="54" t="s">
        <v>57</v>
      </c>
      <c r="T28" s="54" t="s">
        <v>57</v>
      </c>
      <c r="U28" s="54" t="s">
        <v>57</v>
      </c>
      <c r="V28" s="54" t="s">
        <v>145</v>
      </c>
      <c r="W28" s="54" t="s">
        <v>57</v>
      </c>
      <c r="X28" s="54" t="s">
        <v>57</v>
      </c>
      <c r="Y28" s="54" t="s">
        <v>57</v>
      </c>
      <c r="Z28" s="54" t="s">
        <v>57</v>
      </c>
      <c r="AA28" s="54"/>
      <c r="AB28" s="54" t="s">
        <v>57</v>
      </c>
      <c r="AC28" s="54" t="s">
        <v>57</v>
      </c>
      <c r="AD28" s="54" t="s">
        <v>57</v>
      </c>
      <c r="AE28" s="54" t="s">
        <v>57</v>
      </c>
      <c r="AF28" s="54" t="s">
        <v>57</v>
      </c>
      <c r="AG28" s="54" t="s">
        <v>57</v>
      </c>
      <c r="AH28" s="54" t="s">
        <v>57</v>
      </c>
      <c r="AI28" s="54" t="s">
        <v>57</v>
      </c>
      <c r="AJ28" s="54" t="s">
        <v>57</v>
      </c>
      <c r="AK28" s="54" t="s">
        <v>57</v>
      </c>
      <c r="AL28" s="54" t="s">
        <v>145</v>
      </c>
      <c r="AM28" s="54" t="s">
        <v>57</v>
      </c>
      <c r="AN28" s="54" t="s">
        <v>57</v>
      </c>
      <c r="AO28" s="54" t="s">
        <v>57</v>
      </c>
      <c r="AP28" s="54" t="s">
        <v>57</v>
      </c>
      <c r="AQ28" s="54" t="s">
        <v>57</v>
      </c>
      <c r="AR28" s="54" t="s">
        <v>57</v>
      </c>
      <c r="AS28" s="54" t="s">
        <v>57</v>
      </c>
      <c r="AT28" s="54" t="s">
        <v>57</v>
      </c>
      <c r="AU28" s="54" t="s">
        <v>57</v>
      </c>
      <c r="AV28" s="54" t="s">
        <v>145</v>
      </c>
      <c r="AW28" s="54" t="s">
        <v>57</v>
      </c>
      <c r="AX28" s="54" t="s">
        <v>145</v>
      </c>
      <c r="AY28" s="54" t="s">
        <v>145</v>
      </c>
      <c r="AZ28" s="54" t="s">
        <v>145</v>
      </c>
      <c r="BA28" s="54" t="s">
        <v>145</v>
      </c>
      <c r="BB28" s="54" t="s">
        <v>145</v>
      </c>
      <c r="BC28" s="54" t="s">
        <v>145</v>
      </c>
      <c r="BD28" s="54" t="s">
        <v>145</v>
      </c>
      <c r="BE28" s="54" t="s">
        <v>145</v>
      </c>
      <c r="BF28" s="54" t="s">
        <v>145</v>
      </c>
      <c r="BG28" s="54" t="s">
        <v>145</v>
      </c>
      <c r="BH28" s="54" t="s">
        <v>145</v>
      </c>
      <c r="BI28" s="54" t="s">
        <v>145</v>
      </c>
      <c r="BJ28" s="54" t="s">
        <v>145</v>
      </c>
      <c r="BK28" s="54" t="s">
        <v>145</v>
      </c>
      <c r="BL28" s="54" t="s">
        <v>145</v>
      </c>
      <c r="BM28" s="54" t="s">
        <v>145</v>
      </c>
      <c r="BN28" s="54" t="s">
        <v>145</v>
      </c>
      <c r="BO28" s="54" t="s">
        <v>145</v>
      </c>
      <c r="BP28" s="54" t="s">
        <v>145</v>
      </c>
      <c r="BQ28" s="54" t="s">
        <v>57</v>
      </c>
      <c r="BR28" s="54" t="s">
        <v>57</v>
      </c>
      <c r="BS28" s="54" t="s">
        <v>57</v>
      </c>
      <c r="BT28" s="54" t="s">
        <v>145</v>
      </c>
      <c r="BU28" s="54" t="s">
        <v>57</v>
      </c>
      <c r="BV28" s="54" t="s">
        <v>57</v>
      </c>
      <c r="BW28" s="54" t="s">
        <v>145</v>
      </c>
      <c r="BX28" s="54" t="s">
        <v>57</v>
      </c>
      <c r="BY28" s="54" t="s">
        <v>57</v>
      </c>
      <c r="BZ28" s="54" t="s">
        <v>57</v>
      </c>
      <c r="CA28" s="54" t="s">
        <v>57</v>
      </c>
      <c r="CB28" s="54" t="s">
        <v>57</v>
      </c>
      <c r="CC28" s="54" t="s">
        <v>57</v>
      </c>
      <c r="CD28" s="54" t="s">
        <v>57</v>
      </c>
      <c r="CE28" s="54" t="s">
        <v>57</v>
      </c>
      <c r="CF28" s="54" t="s">
        <v>145</v>
      </c>
      <c r="CG28" s="54" t="s">
        <v>57</v>
      </c>
      <c r="CH28" s="54" t="s">
        <v>57</v>
      </c>
      <c r="CI28" s="54" t="s">
        <v>57</v>
      </c>
      <c r="CJ28" s="54" t="s">
        <v>57</v>
      </c>
      <c r="CK28" s="54" t="s">
        <v>57</v>
      </c>
      <c r="CL28" s="54" t="s">
        <v>57</v>
      </c>
      <c r="CM28" s="54" t="s">
        <v>145</v>
      </c>
      <c r="CN28" s="54"/>
      <c r="CO28" s="54" t="s">
        <v>57</v>
      </c>
      <c r="CP28" s="54" t="s">
        <v>57</v>
      </c>
      <c r="CQ28" s="54" t="s">
        <v>57</v>
      </c>
      <c r="CR28" s="54" t="s">
        <v>57</v>
      </c>
      <c r="CS28" s="54" t="s">
        <v>145</v>
      </c>
      <c r="CT28" s="54" t="s">
        <v>145</v>
      </c>
      <c r="CU28" s="54" t="s">
        <v>57</v>
      </c>
      <c r="CV28" s="54" t="s">
        <v>145</v>
      </c>
      <c r="CW28" s="54" t="s">
        <v>57</v>
      </c>
      <c r="CX28" s="54" t="s">
        <v>57</v>
      </c>
      <c r="CY28" s="54" t="s">
        <v>57</v>
      </c>
      <c r="CZ28" s="54"/>
      <c r="DA28" s="54" t="s">
        <v>57</v>
      </c>
      <c r="DB28" s="54" t="s">
        <v>57</v>
      </c>
      <c r="DC28" s="54" t="s">
        <v>145</v>
      </c>
      <c r="DD28" s="54" t="s">
        <v>145</v>
      </c>
      <c r="DE28" s="54" t="s">
        <v>145</v>
      </c>
      <c r="DF28" s="54" t="s">
        <v>57</v>
      </c>
      <c r="DG28" s="54" t="s">
        <v>57</v>
      </c>
      <c r="DH28" s="54" t="s">
        <v>57</v>
      </c>
      <c r="DI28" s="54" t="s">
        <v>57</v>
      </c>
      <c r="DJ28" s="54" t="s">
        <v>57</v>
      </c>
      <c r="DK28" s="54" t="s">
        <v>145</v>
      </c>
      <c r="DL28" s="54" t="s">
        <v>145</v>
      </c>
      <c r="DM28" s="54" t="s">
        <v>145</v>
      </c>
      <c r="DN28" s="54" t="s">
        <v>57</v>
      </c>
      <c r="DO28" s="54" t="s">
        <v>57</v>
      </c>
      <c r="DP28" s="54" t="s">
        <v>57</v>
      </c>
      <c r="DQ28" s="54" t="s">
        <v>145</v>
      </c>
      <c r="DR28" s="54" t="s">
        <v>57</v>
      </c>
      <c r="DS28" s="54" t="s">
        <v>57</v>
      </c>
      <c r="DT28" s="54" t="s">
        <v>57</v>
      </c>
      <c r="DU28" s="54" t="s">
        <v>57</v>
      </c>
      <c r="DV28" s="54" t="s">
        <v>57</v>
      </c>
      <c r="DW28" s="54" t="s">
        <v>145</v>
      </c>
      <c r="DX28" s="54"/>
      <c r="DY28" s="54" t="s">
        <v>145</v>
      </c>
      <c r="DZ28" s="54"/>
      <c r="EA28" s="54"/>
      <c r="EB28" s="54"/>
      <c r="EC28" s="54"/>
      <c r="ED28" s="54"/>
      <c r="EE28" s="54" t="s">
        <v>57</v>
      </c>
      <c r="EF28" s="54" t="s">
        <v>57</v>
      </c>
      <c r="EG28" s="54" t="s">
        <v>57</v>
      </c>
      <c r="EH28" s="54" t="s">
        <v>57</v>
      </c>
      <c r="EI28" s="54" t="s">
        <v>57</v>
      </c>
      <c r="EJ28" s="54" t="s">
        <v>57</v>
      </c>
      <c r="EK28" s="54" t="s">
        <v>57</v>
      </c>
      <c r="EL28" s="54" t="s">
        <v>57</v>
      </c>
      <c r="EM28" s="54" t="s">
        <v>57</v>
      </c>
      <c r="EN28" s="54" t="s">
        <v>57</v>
      </c>
      <c r="EO28" s="54" t="s">
        <v>57</v>
      </c>
      <c r="EP28" s="54" t="s">
        <v>145</v>
      </c>
      <c r="EQ28" s="54" t="s">
        <v>57</v>
      </c>
      <c r="ER28" s="54" t="s">
        <v>57</v>
      </c>
      <c r="ES28" s="54" t="s">
        <v>57</v>
      </c>
      <c r="ET28" s="54" t="s">
        <v>57</v>
      </c>
      <c r="EU28" s="54" t="s">
        <v>57</v>
      </c>
      <c r="EV28" s="54" t="s">
        <v>57</v>
      </c>
      <c r="EW28" s="54" t="s">
        <v>57</v>
      </c>
      <c r="EX28" s="54" t="s">
        <v>57</v>
      </c>
      <c r="EY28" s="54" t="s">
        <v>57</v>
      </c>
      <c r="EZ28" s="54" t="s">
        <v>57</v>
      </c>
      <c r="FA28" s="54" t="s">
        <v>57</v>
      </c>
      <c r="FB28" s="54" t="s">
        <v>57</v>
      </c>
      <c r="FC28" s="54" t="s">
        <v>57</v>
      </c>
      <c r="FD28" s="54" t="s">
        <v>57</v>
      </c>
      <c r="FE28" s="54" t="s">
        <v>57</v>
      </c>
      <c r="FF28" s="54" t="s">
        <v>57</v>
      </c>
      <c r="FG28" s="54" t="s">
        <v>57</v>
      </c>
      <c r="FH28" s="54" t="s">
        <v>57</v>
      </c>
      <c r="FI28" s="54" t="s">
        <v>57</v>
      </c>
      <c r="FJ28" s="54" t="s">
        <v>57</v>
      </c>
      <c r="FK28" s="54" t="s">
        <v>57</v>
      </c>
      <c r="FL28" s="54" t="s">
        <v>57</v>
      </c>
      <c r="FM28" s="54" t="s">
        <v>57</v>
      </c>
      <c r="FN28" s="54" t="s">
        <v>57</v>
      </c>
      <c r="FO28" s="54" t="s">
        <v>57</v>
      </c>
      <c r="FP28" s="54" t="s">
        <v>57</v>
      </c>
      <c r="FQ28" s="54" t="s">
        <v>57</v>
      </c>
      <c r="FR28" s="54" t="s">
        <v>57</v>
      </c>
      <c r="FS28" s="54" t="s">
        <v>57</v>
      </c>
      <c r="FT28" s="54" t="s">
        <v>57</v>
      </c>
      <c r="FU28" s="54" t="s">
        <v>57</v>
      </c>
      <c r="FV28" s="54" t="s">
        <v>57</v>
      </c>
      <c r="FW28" s="54" t="s">
        <v>57</v>
      </c>
      <c r="FX28" s="54" t="s">
        <v>57</v>
      </c>
      <c r="FY28" s="54" t="s">
        <v>57</v>
      </c>
      <c r="FZ28" s="54" t="s">
        <v>57</v>
      </c>
      <c r="GA28" s="54" t="s">
        <v>57</v>
      </c>
      <c r="GB28" s="54" t="s">
        <v>57</v>
      </c>
      <c r="GC28" s="54" t="s">
        <v>57</v>
      </c>
      <c r="GD28" s="54" t="s">
        <v>57</v>
      </c>
      <c r="GE28" s="54" t="s">
        <v>57</v>
      </c>
      <c r="GF28" s="54" t="s">
        <v>57</v>
      </c>
      <c r="GG28" s="54" t="s">
        <v>57</v>
      </c>
      <c r="GH28" s="54" t="s">
        <v>57</v>
      </c>
      <c r="GI28" s="54" t="s">
        <v>57</v>
      </c>
      <c r="GJ28" s="54" t="s">
        <v>57</v>
      </c>
      <c r="GK28" s="54" t="s">
        <v>57</v>
      </c>
      <c r="GL28" s="54" t="s">
        <v>57</v>
      </c>
      <c r="GM28" s="54" t="s">
        <v>57</v>
      </c>
      <c r="GN28" s="54" t="s">
        <v>57</v>
      </c>
      <c r="GO28" s="54" t="s">
        <v>57</v>
      </c>
      <c r="GP28" s="54" t="s">
        <v>57</v>
      </c>
      <c r="GQ28" s="54" t="s">
        <v>57</v>
      </c>
      <c r="GR28" s="54" t="s">
        <v>57</v>
      </c>
      <c r="GS28" s="54" t="s">
        <v>57</v>
      </c>
      <c r="GT28" s="54" t="s">
        <v>57</v>
      </c>
      <c r="GU28" s="54" t="s">
        <v>57</v>
      </c>
      <c r="GV28" s="54" t="s">
        <v>57</v>
      </c>
    </row>
    <row r="29">
      <c r="A29" s="59"/>
      <c r="B29" s="58" t="s">
        <v>29</v>
      </c>
      <c r="D29" s="53" t="str">
        <f t="array" ref="D29">IF('Wątki'!B30=$A$1,INDIRECT("Klasa"),IF('Wątki'!B30=$A$2,INDIRECT("Grupa"),IF('Wątki'!B30=$A$3,INDIRECT("Postać"),"Nie")))</f>
        <v>Nie</v>
      </c>
      <c r="E29" s="53"/>
      <c r="F29" s="54" t="s">
        <v>59</v>
      </c>
      <c r="G29" s="54" t="s">
        <v>59</v>
      </c>
      <c r="H29" s="54" t="s">
        <v>59</v>
      </c>
      <c r="I29" s="54"/>
      <c r="J29" s="54" t="s">
        <v>59</v>
      </c>
      <c r="K29" s="54" t="s">
        <v>59</v>
      </c>
      <c r="L29" s="54" t="s">
        <v>59</v>
      </c>
      <c r="M29" s="54" t="s">
        <v>59</v>
      </c>
      <c r="N29" s="54" t="s">
        <v>59</v>
      </c>
      <c r="O29" s="54" t="s">
        <v>59</v>
      </c>
      <c r="P29" s="54" t="s">
        <v>59</v>
      </c>
      <c r="Q29" s="54" t="s">
        <v>59</v>
      </c>
      <c r="R29" s="54" t="s">
        <v>59</v>
      </c>
      <c r="S29" s="54" t="s">
        <v>59</v>
      </c>
      <c r="T29" s="54" t="s">
        <v>59</v>
      </c>
      <c r="U29" s="54" t="s">
        <v>59</v>
      </c>
      <c r="V29" s="54" t="s">
        <v>147</v>
      </c>
      <c r="W29" s="54" t="s">
        <v>59</v>
      </c>
      <c r="X29" s="54" t="s">
        <v>59</v>
      </c>
      <c r="Y29" s="54" t="s">
        <v>59</v>
      </c>
      <c r="Z29" s="54" t="s">
        <v>59</v>
      </c>
      <c r="AA29" s="54"/>
      <c r="AB29" s="54" t="s">
        <v>59</v>
      </c>
      <c r="AC29" s="54" t="s">
        <v>59</v>
      </c>
      <c r="AD29" s="54" t="s">
        <v>59</v>
      </c>
      <c r="AE29" s="54" t="s">
        <v>59</v>
      </c>
      <c r="AF29" s="54" t="s">
        <v>59</v>
      </c>
      <c r="AG29" s="54" t="s">
        <v>59</v>
      </c>
      <c r="AH29" s="54" t="s">
        <v>59</v>
      </c>
      <c r="AI29" s="54" t="s">
        <v>59</v>
      </c>
      <c r="AJ29" s="54" t="s">
        <v>59</v>
      </c>
      <c r="AK29" s="54" t="s">
        <v>59</v>
      </c>
      <c r="AL29" s="54" t="s">
        <v>147</v>
      </c>
      <c r="AM29" s="54" t="s">
        <v>59</v>
      </c>
      <c r="AN29" s="54" t="s">
        <v>59</v>
      </c>
      <c r="AO29" s="54" t="s">
        <v>59</v>
      </c>
      <c r="AP29" s="54" t="s">
        <v>59</v>
      </c>
      <c r="AQ29" s="54" t="s">
        <v>59</v>
      </c>
      <c r="AR29" s="54" t="s">
        <v>59</v>
      </c>
      <c r="AS29" s="54" t="s">
        <v>59</v>
      </c>
      <c r="AT29" s="54" t="s">
        <v>59</v>
      </c>
      <c r="AU29" s="54" t="s">
        <v>59</v>
      </c>
      <c r="AV29" s="54" t="s">
        <v>147</v>
      </c>
      <c r="AW29" s="54" t="s">
        <v>59</v>
      </c>
      <c r="AX29" s="54" t="s">
        <v>147</v>
      </c>
      <c r="AY29" s="54" t="s">
        <v>147</v>
      </c>
      <c r="AZ29" s="54" t="s">
        <v>147</v>
      </c>
      <c r="BA29" s="54" t="s">
        <v>147</v>
      </c>
      <c r="BB29" s="54" t="s">
        <v>147</v>
      </c>
      <c r="BC29" s="54" t="s">
        <v>147</v>
      </c>
      <c r="BD29" s="54" t="s">
        <v>147</v>
      </c>
      <c r="BE29" s="54" t="s">
        <v>147</v>
      </c>
      <c r="BF29" s="54" t="s">
        <v>147</v>
      </c>
      <c r="BG29" s="54" t="s">
        <v>147</v>
      </c>
      <c r="BH29" s="54" t="s">
        <v>147</v>
      </c>
      <c r="BI29" s="54" t="s">
        <v>147</v>
      </c>
      <c r="BJ29" s="54" t="s">
        <v>147</v>
      </c>
      <c r="BK29" s="54" t="s">
        <v>147</v>
      </c>
      <c r="BL29" s="54" t="s">
        <v>147</v>
      </c>
      <c r="BM29" s="54" t="s">
        <v>147</v>
      </c>
      <c r="BN29" s="54" t="s">
        <v>147</v>
      </c>
      <c r="BO29" s="54" t="s">
        <v>147</v>
      </c>
      <c r="BP29" s="54" t="s">
        <v>147</v>
      </c>
      <c r="BQ29" s="54" t="s">
        <v>59</v>
      </c>
      <c r="BR29" s="54" t="s">
        <v>59</v>
      </c>
      <c r="BS29" s="54" t="s">
        <v>59</v>
      </c>
      <c r="BT29" s="54" t="s">
        <v>147</v>
      </c>
      <c r="BU29" s="54" t="s">
        <v>59</v>
      </c>
      <c r="BV29" s="54" t="s">
        <v>59</v>
      </c>
      <c r="BW29" s="54" t="s">
        <v>147</v>
      </c>
      <c r="BX29" s="54" t="s">
        <v>59</v>
      </c>
      <c r="BY29" s="54" t="s">
        <v>59</v>
      </c>
      <c r="BZ29" s="54" t="s">
        <v>59</v>
      </c>
      <c r="CA29" s="54" t="s">
        <v>59</v>
      </c>
      <c r="CB29" s="54" t="s">
        <v>59</v>
      </c>
      <c r="CC29" s="54" t="s">
        <v>59</v>
      </c>
      <c r="CD29" s="54" t="s">
        <v>59</v>
      </c>
      <c r="CE29" s="54" t="s">
        <v>59</v>
      </c>
      <c r="CF29" s="54" t="s">
        <v>147</v>
      </c>
      <c r="CG29" s="54" t="s">
        <v>59</v>
      </c>
      <c r="CH29" s="54" t="s">
        <v>59</v>
      </c>
      <c r="CI29" s="54" t="s">
        <v>59</v>
      </c>
      <c r="CJ29" s="54" t="s">
        <v>59</v>
      </c>
      <c r="CK29" s="54" t="s">
        <v>59</v>
      </c>
      <c r="CL29" s="54" t="s">
        <v>59</v>
      </c>
      <c r="CM29" s="54" t="s">
        <v>147</v>
      </c>
      <c r="CN29" s="54"/>
      <c r="CO29" s="54" t="s">
        <v>59</v>
      </c>
      <c r="CP29" s="54" t="s">
        <v>59</v>
      </c>
      <c r="CQ29" s="54" t="s">
        <v>59</v>
      </c>
      <c r="CR29" s="54" t="s">
        <v>59</v>
      </c>
      <c r="CS29" s="54" t="s">
        <v>147</v>
      </c>
      <c r="CT29" s="54" t="s">
        <v>147</v>
      </c>
      <c r="CU29" s="54" t="s">
        <v>59</v>
      </c>
      <c r="CV29" s="54" t="s">
        <v>147</v>
      </c>
      <c r="CW29" s="54" t="s">
        <v>59</v>
      </c>
      <c r="CX29" s="54" t="s">
        <v>59</v>
      </c>
      <c r="CY29" s="54" t="s">
        <v>59</v>
      </c>
      <c r="CZ29" s="54"/>
      <c r="DA29" s="54" t="s">
        <v>59</v>
      </c>
      <c r="DB29" s="54" t="s">
        <v>59</v>
      </c>
      <c r="DC29" s="54" t="s">
        <v>147</v>
      </c>
      <c r="DD29" s="54" t="s">
        <v>147</v>
      </c>
      <c r="DE29" s="54" t="s">
        <v>147</v>
      </c>
      <c r="DF29" s="54" t="s">
        <v>59</v>
      </c>
      <c r="DG29" s="54" t="s">
        <v>59</v>
      </c>
      <c r="DH29" s="54" t="s">
        <v>59</v>
      </c>
      <c r="DI29" s="54" t="s">
        <v>59</v>
      </c>
      <c r="DJ29" s="54" t="s">
        <v>59</v>
      </c>
      <c r="DK29" s="54" t="s">
        <v>147</v>
      </c>
      <c r="DL29" s="54" t="s">
        <v>147</v>
      </c>
      <c r="DM29" s="54" t="s">
        <v>147</v>
      </c>
      <c r="DN29" s="54" t="s">
        <v>59</v>
      </c>
      <c r="DO29" s="54" t="s">
        <v>59</v>
      </c>
      <c r="DP29" s="54" t="s">
        <v>59</v>
      </c>
      <c r="DQ29" s="54" t="s">
        <v>147</v>
      </c>
      <c r="DR29" s="54" t="s">
        <v>59</v>
      </c>
      <c r="DS29" s="54" t="s">
        <v>59</v>
      </c>
      <c r="DT29" s="54" t="s">
        <v>59</v>
      </c>
      <c r="DU29" s="54" t="s">
        <v>59</v>
      </c>
      <c r="DV29" s="54" t="s">
        <v>59</v>
      </c>
      <c r="DW29" s="54" t="s">
        <v>147</v>
      </c>
      <c r="DX29" s="54"/>
      <c r="DY29" s="54" t="s">
        <v>147</v>
      </c>
      <c r="DZ29" s="54"/>
      <c r="EA29" s="54"/>
      <c r="EB29" s="54"/>
      <c r="EC29" s="54"/>
      <c r="ED29" s="54"/>
      <c r="EE29" s="54" t="s">
        <v>59</v>
      </c>
      <c r="EF29" s="54" t="s">
        <v>59</v>
      </c>
      <c r="EG29" s="54" t="s">
        <v>59</v>
      </c>
      <c r="EH29" s="54" t="s">
        <v>59</v>
      </c>
      <c r="EI29" s="54" t="s">
        <v>59</v>
      </c>
      <c r="EJ29" s="54" t="s">
        <v>59</v>
      </c>
      <c r="EK29" s="54" t="s">
        <v>59</v>
      </c>
      <c r="EL29" s="54" t="s">
        <v>59</v>
      </c>
      <c r="EM29" s="54" t="s">
        <v>59</v>
      </c>
      <c r="EN29" s="54" t="s">
        <v>59</v>
      </c>
      <c r="EO29" s="54" t="s">
        <v>59</v>
      </c>
      <c r="EP29" s="54" t="s">
        <v>147</v>
      </c>
      <c r="EQ29" s="54" t="s">
        <v>59</v>
      </c>
      <c r="ER29" s="54" t="s">
        <v>59</v>
      </c>
      <c r="ES29" s="54" t="s">
        <v>59</v>
      </c>
      <c r="ET29" s="54" t="s">
        <v>59</v>
      </c>
      <c r="EU29" s="54" t="s">
        <v>59</v>
      </c>
      <c r="EV29" s="54" t="s">
        <v>59</v>
      </c>
      <c r="EW29" s="54" t="s">
        <v>59</v>
      </c>
      <c r="EX29" s="54" t="s">
        <v>59</v>
      </c>
      <c r="EY29" s="54" t="s">
        <v>59</v>
      </c>
      <c r="EZ29" s="54" t="s">
        <v>59</v>
      </c>
      <c r="FA29" s="54" t="s">
        <v>59</v>
      </c>
      <c r="FB29" s="54" t="s">
        <v>59</v>
      </c>
      <c r="FC29" s="54" t="s">
        <v>59</v>
      </c>
      <c r="FD29" s="54" t="s">
        <v>59</v>
      </c>
      <c r="FE29" s="54" t="s">
        <v>59</v>
      </c>
      <c r="FF29" s="54" t="s">
        <v>59</v>
      </c>
      <c r="FG29" s="54" t="s">
        <v>59</v>
      </c>
      <c r="FH29" s="54" t="s">
        <v>59</v>
      </c>
      <c r="FI29" s="54" t="s">
        <v>59</v>
      </c>
      <c r="FJ29" s="54" t="s">
        <v>59</v>
      </c>
      <c r="FK29" s="54" t="s">
        <v>59</v>
      </c>
      <c r="FL29" s="54" t="s">
        <v>59</v>
      </c>
      <c r="FM29" s="54" t="s">
        <v>59</v>
      </c>
      <c r="FN29" s="54" t="s">
        <v>59</v>
      </c>
      <c r="FO29" s="54" t="s">
        <v>59</v>
      </c>
      <c r="FP29" s="54" t="s">
        <v>59</v>
      </c>
      <c r="FQ29" s="54" t="s">
        <v>59</v>
      </c>
      <c r="FR29" s="54" t="s">
        <v>59</v>
      </c>
      <c r="FS29" s="54" t="s">
        <v>59</v>
      </c>
      <c r="FT29" s="54" t="s">
        <v>59</v>
      </c>
      <c r="FU29" s="54" t="s">
        <v>59</v>
      </c>
      <c r="FV29" s="54" t="s">
        <v>59</v>
      </c>
      <c r="FW29" s="54" t="s">
        <v>59</v>
      </c>
      <c r="FX29" s="54" t="s">
        <v>59</v>
      </c>
      <c r="FY29" s="54" t="s">
        <v>59</v>
      </c>
      <c r="FZ29" s="54" t="s">
        <v>59</v>
      </c>
      <c r="GA29" s="54" t="s">
        <v>59</v>
      </c>
      <c r="GB29" s="54" t="s">
        <v>59</v>
      </c>
      <c r="GC29" s="54" t="s">
        <v>59</v>
      </c>
      <c r="GD29" s="54" t="s">
        <v>59</v>
      </c>
      <c r="GE29" s="54" t="s">
        <v>59</v>
      </c>
      <c r="GF29" s="54" t="s">
        <v>59</v>
      </c>
      <c r="GG29" s="54" t="s">
        <v>59</v>
      </c>
      <c r="GH29" s="54" t="s">
        <v>59</v>
      </c>
      <c r="GI29" s="54" t="s">
        <v>59</v>
      </c>
      <c r="GJ29" s="54" t="s">
        <v>59</v>
      </c>
      <c r="GK29" s="54" t="s">
        <v>59</v>
      </c>
      <c r="GL29" s="54" t="s">
        <v>59</v>
      </c>
      <c r="GM29" s="54" t="s">
        <v>59</v>
      </c>
      <c r="GN29" s="54" t="s">
        <v>59</v>
      </c>
      <c r="GO29" s="54" t="s">
        <v>59</v>
      </c>
      <c r="GP29" s="54" t="s">
        <v>59</v>
      </c>
      <c r="GQ29" s="54" t="s">
        <v>59</v>
      </c>
      <c r="GR29" s="54" t="s">
        <v>59</v>
      </c>
      <c r="GS29" s="54" t="s">
        <v>59</v>
      </c>
      <c r="GT29" s="54" t="s">
        <v>59</v>
      </c>
      <c r="GU29" s="54" t="s">
        <v>59</v>
      </c>
      <c r="GV29" s="54" t="s">
        <v>59</v>
      </c>
    </row>
    <row r="30">
      <c r="A30" s="59"/>
      <c r="B30" s="58" t="s">
        <v>65</v>
      </c>
      <c r="D30" s="53" t="str">
        <f t="array" ref="D30">IF('Wątki'!B31=$A$1,INDIRECT("Klasa"),IF('Wątki'!B31=$A$2,INDIRECT("Grupa"),IF('Wątki'!B31=$A$3,INDIRECT("Postać"),"Nie")))</f>
        <v>Nie</v>
      </c>
      <c r="E30" s="53"/>
      <c r="F30" s="54" t="s">
        <v>60</v>
      </c>
      <c r="G30" s="54" t="s">
        <v>60</v>
      </c>
      <c r="H30" s="54" t="s">
        <v>60</v>
      </c>
      <c r="I30" s="54"/>
      <c r="J30" s="54" t="s">
        <v>60</v>
      </c>
      <c r="K30" s="54" t="s">
        <v>60</v>
      </c>
      <c r="L30" s="54" t="s">
        <v>60</v>
      </c>
      <c r="M30" s="54" t="s">
        <v>60</v>
      </c>
      <c r="N30" s="54" t="s">
        <v>60</v>
      </c>
      <c r="O30" s="54" t="s">
        <v>60</v>
      </c>
      <c r="P30" s="54" t="s">
        <v>60</v>
      </c>
      <c r="Q30" s="54" t="s">
        <v>60</v>
      </c>
      <c r="R30" s="54" t="s">
        <v>60</v>
      </c>
      <c r="S30" s="54" t="s">
        <v>60</v>
      </c>
      <c r="T30" s="54" t="s">
        <v>60</v>
      </c>
      <c r="U30" s="54" t="s">
        <v>60</v>
      </c>
      <c r="V30" s="54" t="s">
        <v>149</v>
      </c>
      <c r="W30" s="54" t="s">
        <v>60</v>
      </c>
      <c r="X30" s="54" t="s">
        <v>60</v>
      </c>
      <c r="Y30" s="54" t="s">
        <v>60</v>
      </c>
      <c r="Z30" s="54" t="s">
        <v>60</v>
      </c>
      <c r="AA30" s="54"/>
      <c r="AB30" s="54" t="s">
        <v>60</v>
      </c>
      <c r="AC30" s="54" t="s">
        <v>60</v>
      </c>
      <c r="AD30" s="54" t="s">
        <v>60</v>
      </c>
      <c r="AE30" s="54" t="s">
        <v>60</v>
      </c>
      <c r="AF30" s="54" t="s">
        <v>60</v>
      </c>
      <c r="AG30" s="54" t="s">
        <v>60</v>
      </c>
      <c r="AH30" s="54" t="s">
        <v>60</v>
      </c>
      <c r="AI30" s="54" t="s">
        <v>60</v>
      </c>
      <c r="AJ30" s="54" t="s">
        <v>60</v>
      </c>
      <c r="AK30" s="54" t="s">
        <v>60</v>
      </c>
      <c r="AL30" s="54" t="s">
        <v>149</v>
      </c>
      <c r="AM30" s="54" t="s">
        <v>60</v>
      </c>
      <c r="AN30" s="54" t="s">
        <v>60</v>
      </c>
      <c r="AO30" s="54" t="s">
        <v>60</v>
      </c>
      <c r="AP30" s="54" t="s">
        <v>60</v>
      </c>
      <c r="AQ30" s="54" t="s">
        <v>60</v>
      </c>
      <c r="AR30" s="54" t="s">
        <v>60</v>
      </c>
      <c r="AS30" s="54" t="s">
        <v>60</v>
      </c>
      <c r="AT30" s="54" t="s">
        <v>60</v>
      </c>
      <c r="AU30" s="54" t="s">
        <v>60</v>
      </c>
      <c r="AV30" s="54" t="s">
        <v>149</v>
      </c>
      <c r="AW30" s="54" t="s">
        <v>60</v>
      </c>
      <c r="AX30" s="54" t="s">
        <v>149</v>
      </c>
      <c r="AY30" s="54" t="s">
        <v>149</v>
      </c>
      <c r="AZ30" s="54" t="s">
        <v>149</v>
      </c>
      <c r="BA30" s="54" t="s">
        <v>149</v>
      </c>
      <c r="BB30" s="54" t="s">
        <v>149</v>
      </c>
      <c r="BC30" s="54" t="s">
        <v>149</v>
      </c>
      <c r="BD30" s="54" t="s">
        <v>149</v>
      </c>
      <c r="BE30" s="54" t="s">
        <v>149</v>
      </c>
      <c r="BF30" s="54" t="s">
        <v>149</v>
      </c>
      <c r="BG30" s="54" t="s">
        <v>149</v>
      </c>
      <c r="BH30" s="54" t="s">
        <v>149</v>
      </c>
      <c r="BI30" s="54" t="s">
        <v>149</v>
      </c>
      <c r="BJ30" s="54" t="s">
        <v>149</v>
      </c>
      <c r="BK30" s="54" t="s">
        <v>149</v>
      </c>
      <c r="BL30" s="54" t="s">
        <v>149</v>
      </c>
      <c r="BM30" s="54" t="s">
        <v>149</v>
      </c>
      <c r="BN30" s="54" t="s">
        <v>149</v>
      </c>
      <c r="BO30" s="54" t="s">
        <v>149</v>
      </c>
      <c r="BP30" s="54" t="s">
        <v>149</v>
      </c>
      <c r="BQ30" s="54" t="s">
        <v>60</v>
      </c>
      <c r="BR30" s="54" t="s">
        <v>60</v>
      </c>
      <c r="BS30" s="54" t="s">
        <v>60</v>
      </c>
      <c r="BT30" s="54" t="s">
        <v>149</v>
      </c>
      <c r="BU30" s="54" t="s">
        <v>60</v>
      </c>
      <c r="BV30" s="54" t="s">
        <v>60</v>
      </c>
      <c r="BW30" s="54" t="s">
        <v>149</v>
      </c>
      <c r="BX30" s="54" t="s">
        <v>60</v>
      </c>
      <c r="BY30" s="54" t="s">
        <v>60</v>
      </c>
      <c r="BZ30" s="54" t="s">
        <v>60</v>
      </c>
      <c r="CA30" s="54" t="s">
        <v>60</v>
      </c>
      <c r="CB30" s="54" t="s">
        <v>60</v>
      </c>
      <c r="CC30" s="54" t="s">
        <v>60</v>
      </c>
      <c r="CD30" s="54" t="s">
        <v>60</v>
      </c>
      <c r="CE30" s="54" t="s">
        <v>60</v>
      </c>
      <c r="CF30" s="54" t="s">
        <v>149</v>
      </c>
      <c r="CG30" s="54" t="s">
        <v>60</v>
      </c>
      <c r="CH30" s="54" t="s">
        <v>60</v>
      </c>
      <c r="CI30" s="54" t="s">
        <v>60</v>
      </c>
      <c r="CJ30" s="54" t="s">
        <v>60</v>
      </c>
      <c r="CK30" s="54" t="s">
        <v>60</v>
      </c>
      <c r="CL30" s="54" t="s">
        <v>60</v>
      </c>
      <c r="CM30" s="54" t="s">
        <v>149</v>
      </c>
      <c r="CN30" s="54"/>
      <c r="CO30" s="54" t="s">
        <v>60</v>
      </c>
      <c r="CP30" s="54" t="s">
        <v>60</v>
      </c>
      <c r="CQ30" s="54" t="s">
        <v>60</v>
      </c>
      <c r="CR30" s="54" t="s">
        <v>60</v>
      </c>
      <c r="CS30" s="54" t="s">
        <v>149</v>
      </c>
      <c r="CT30" s="54" t="s">
        <v>149</v>
      </c>
      <c r="CU30" s="54" t="s">
        <v>60</v>
      </c>
      <c r="CV30" s="54" t="s">
        <v>149</v>
      </c>
      <c r="CW30" s="54" t="s">
        <v>60</v>
      </c>
      <c r="CX30" s="54" t="s">
        <v>60</v>
      </c>
      <c r="CY30" s="54" t="s">
        <v>60</v>
      </c>
      <c r="CZ30" s="54"/>
      <c r="DA30" s="54" t="s">
        <v>60</v>
      </c>
      <c r="DB30" s="54" t="s">
        <v>60</v>
      </c>
      <c r="DC30" s="54" t="s">
        <v>149</v>
      </c>
      <c r="DD30" s="54" t="s">
        <v>149</v>
      </c>
      <c r="DE30" s="54" t="s">
        <v>149</v>
      </c>
      <c r="DF30" s="54" t="s">
        <v>60</v>
      </c>
      <c r="DG30" s="54" t="s">
        <v>60</v>
      </c>
      <c r="DH30" s="54" t="s">
        <v>60</v>
      </c>
      <c r="DI30" s="54" t="s">
        <v>60</v>
      </c>
      <c r="DJ30" s="54" t="s">
        <v>60</v>
      </c>
      <c r="DK30" s="54" t="s">
        <v>149</v>
      </c>
      <c r="DL30" s="54" t="s">
        <v>149</v>
      </c>
      <c r="DM30" s="54" t="s">
        <v>149</v>
      </c>
      <c r="DN30" s="54" t="s">
        <v>60</v>
      </c>
      <c r="DO30" s="54" t="s">
        <v>60</v>
      </c>
      <c r="DP30" s="54" t="s">
        <v>60</v>
      </c>
      <c r="DQ30" s="54" t="s">
        <v>149</v>
      </c>
      <c r="DR30" s="54" t="s">
        <v>60</v>
      </c>
      <c r="DS30" s="54" t="s">
        <v>60</v>
      </c>
      <c r="DT30" s="54" t="s">
        <v>60</v>
      </c>
      <c r="DU30" s="54" t="s">
        <v>60</v>
      </c>
      <c r="DV30" s="54" t="s">
        <v>60</v>
      </c>
      <c r="DW30" s="54" t="s">
        <v>149</v>
      </c>
      <c r="DX30" s="54"/>
      <c r="DY30" s="54" t="s">
        <v>149</v>
      </c>
      <c r="DZ30" s="54"/>
      <c r="EA30" s="54"/>
      <c r="EB30" s="54"/>
      <c r="EC30" s="54"/>
      <c r="ED30" s="54"/>
      <c r="EE30" s="54" t="s">
        <v>60</v>
      </c>
      <c r="EF30" s="54" t="s">
        <v>60</v>
      </c>
      <c r="EG30" s="54" t="s">
        <v>60</v>
      </c>
      <c r="EH30" s="54" t="s">
        <v>60</v>
      </c>
      <c r="EI30" s="54" t="s">
        <v>60</v>
      </c>
      <c r="EJ30" s="54" t="s">
        <v>60</v>
      </c>
      <c r="EK30" s="54" t="s">
        <v>60</v>
      </c>
      <c r="EL30" s="54" t="s">
        <v>60</v>
      </c>
      <c r="EM30" s="54" t="s">
        <v>60</v>
      </c>
      <c r="EN30" s="54" t="s">
        <v>60</v>
      </c>
      <c r="EO30" s="54" t="s">
        <v>60</v>
      </c>
      <c r="EP30" s="54" t="s">
        <v>149</v>
      </c>
      <c r="EQ30" s="54" t="s">
        <v>60</v>
      </c>
      <c r="ER30" s="54" t="s">
        <v>60</v>
      </c>
      <c r="ES30" s="54" t="s">
        <v>60</v>
      </c>
      <c r="ET30" s="54" t="s">
        <v>60</v>
      </c>
      <c r="EU30" s="54" t="s">
        <v>60</v>
      </c>
      <c r="EV30" s="54" t="s">
        <v>60</v>
      </c>
      <c r="EW30" s="54" t="s">
        <v>60</v>
      </c>
      <c r="EX30" s="54" t="s">
        <v>60</v>
      </c>
      <c r="EY30" s="54" t="s">
        <v>60</v>
      </c>
      <c r="EZ30" s="54" t="s">
        <v>60</v>
      </c>
      <c r="FA30" s="54" t="s">
        <v>60</v>
      </c>
      <c r="FB30" s="54" t="s">
        <v>60</v>
      </c>
      <c r="FC30" s="54" t="s">
        <v>60</v>
      </c>
      <c r="FD30" s="54" t="s">
        <v>60</v>
      </c>
      <c r="FE30" s="54" t="s">
        <v>60</v>
      </c>
      <c r="FF30" s="54" t="s">
        <v>60</v>
      </c>
      <c r="FG30" s="54" t="s">
        <v>60</v>
      </c>
      <c r="FH30" s="54" t="s">
        <v>60</v>
      </c>
      <c r="FI30" s="54" t="s">
        <v>60</v>
      </c>
      <c r="FJ30" s="54" t="s">
        <v>60</v>
      </c>
      <c r="FK30" s="54" t="s">
        <v>60</v>
      </c>
      <c r="FL30" s="54" t="s">
        <v>60</v>
      </c>
      <c r="FM30" s="54" t="s">
        <v>60</v>
      </c>
      <c r="FN30" s="54" t="s">
        <v>60</v>
      </c>
      <c r="FO30" s="54" t="s">
        <v>60</v>
      </c>
      <c r="FP30" s="54" t="s">
        <v>60</v>
      </c>
      <c r="FQ30" s="54" t="s">
        <v>60</v>
      </c>
      <c r="FR30" s="54" t="s">
        <v>60</v>
      </c>
      <c r="FS30" s="54" t="s">
        <v>60</v>
      </c>
      <c r="FT30" s="54" t="s">
        <v>60</v>
      </c>
      <c r="FU30" s="54" t="s">
        <v>60</v>
      </c>
      <c r="FV30" s="54" t="s">
        <v>60</v>
      </c>
      <c r="FW30" s="54" t="s">
        <v>60</v>
      </c>
      <c r="FX30" s="54" t="s">
        <v>60</v>
      </c>
      <c r="FY30" s="54" t="s">
        <v>60</v>
      </c>
      <c r="FZ30" s="54" t="s">
        <v>60</v>
      </c>
      <c r="GA30" s="54" t="s">
        <v>60</v>
      </c>
      <c r="GB30" s="54" t="s">
        <v>60</v>
      </c>
      <c r="GC30" s="54" t="s">
        <v>60</v>
      </c>
      <c r="GD30" s="54" t="s">
        <v>60</v>
      </c>
      <c r="GE30" s="54" t="s">
        <v>60</v>
      </c>
      <c r="GF30" s="54" t="s">
        <v>60</v>
      </c>
      <c r="GG30" s="54" t="s">
        <v>60</v>
      </c>
      <c r="GH30" s="54" t="s">
        <v>60</v>
      </c>
      <c r="GI30" s="54" t="s">
        <v>60</v>
      </c>
      <c r="GJ30" s="54" t="s">
        <v>60</v>
      </c>
      <c r="GK30" s="54" t="s">
        <v>60</v>
      </c>
      <c r="GL30" s="54" t="s">
        <v>60</v>
      </c>
      <c r="GM30" s="54" t="s">
        <v>60</v>
      </c>
      <c r="GN30" s="54" t="s">
        <v>60</v>
      </c>
      <c r="GO30" s="54" t="s">
        <v>60</v>
      </c>
      <c r="GP30" s="54" t="s">
        <v>60</v>
      </c>
      <c r="GQ30" s="54" t="s">
        <v>60</v>
      </c>
      <c r="GR30" s="54" t="s">
        <v>60</v>
      </c>
      <c r="GS30" s="54" t="s">
        <v>60</v>
      </c>
      <c r="GT30" s="54" t="s">
        <v>60</v>
      </c>
      <c r="GU30" s="54" t="s">
        <v>60</v>
      </c>
      <c r="GV30" s="54" t="s">
        <v>60</v>
      </c>
    </row>
    <row r="31">
      <c r="A31" s="59"/>
      <c r="B31" s="58" t="s">
        <v>690</v>
      </c>
      <c r="D31" s="53" t="str">
        <f t="array" ref="D31">IF('Wątki'!B32=$A$1,INDIRECT("Klasa"),IF('Wątki'!B32=$A$2,INDIRECT("Grupa"),IF('Wątki'!B32=$A$3,INDIRECT("Postać"),"Nie")))</f>
        <v>Nie</v>
      </c>
      <c r="E31" s="53"/>
      <c r="F31" s="54" t="s">
        <v>61</v>
      </c>
      <c r="G31" s="54" t="s">
        <v>61</v>
      </c>
      <c r="H31" s="54" t="s">
        <v>61</v>
      </c>
      <c r="I31" s="54"/>
      <c r="J31" s="54" t="s">
        <v>61</v>
      </c>
      <c r="K31" s="54" t="s">
        <v>61</v>
      </c>
      <c r="L31" s="54" t="s">
        <v>61</v>
      </c>
      <c r="M31" s="54" t="s">
        <v>61</v>
      </c>
      <c r="N31" s="54" t="s">
        <v>61</v>
      </c>
      <c r="O31" s="54" t="s">
        <v>61</v>
      </c>
      <c r="P31" s="54" t="s">
        <v>61</v>
      </c>
      <c r="Q31" s="54" t="s">
        <v>61</v>
      </c>
      <c r="R31" s="54" t="s">
        <v>61</v>
      </c>
      <c r="S31" s="54" t="s">
        <v>61</v>
      </c>
      <c r="T31" s="54" t="s">
        <v>61</v>
      </c>
      <c r="U31" s="54" t="s">
        <v>61</v>
      </c>
      <c r="V31" s="54" t="s">
        <v>151</v>
      </c>
      <c r="W31" s="54" t="s">
        <v>61</v>
      </c>
      <c r="X31" s="54" t="s">
        <v>61</v>
      </c>
      <c r="Y31" s="54" t="s">
        <v>61</v>
      </c>
      <c r="Z31" s="54" t="s">
        <v>61</v>
      </c>
      <c r="AA31" s="54"/>
      <c r="AB31" s="54" t="s">
        <v>61</v>
      </c>
      <c r="AC31" s="54" t="s">
        <v>61</v>
      </c>
      <c r="AD31" s="54" t="s">
        <v>61</v>
      </c>
      <c r="AE31" s="54" t="s">
        <v>61</v>
      </c>
      <c r="AF31" s="54" t="s">
        <v>61</v>
      </c>
      <c r="AG31" s="54" t="s">
        <v>61</v>
      </c>
      <c r="AH31" s="54" t="s">
        <v>61</v>
      </c>
      <c r="AI31" s="54" t="s">
        <v>61</v>
      </c>
      <c r="AJ31" s="54" t="s">
        <v>61</v>
      </c>
      <c r="AK31" s="54" t="s">
        <v>61</v>
      </c>
      <c r="AL31" s="54" t="s">
        <v>151</v>
      </c>
      <c r="AM31" s="54" t="s">
        <v>61</v>
      </c>
      <c r="AN31" s="54" t="s">
        <v>61</v>
      </c>
      <c r="AO31" s="54" t="s">
        <v>61</v>
      </c>
      <c r="AP31" s="54" t="s">
        <v>61</v>
      </c>
      <c r="AQ31" s="54" t="s">
        <v>61</v>
      </c>
      <c r="AR31" s="54" t="s">
        <v>61</v>
      </c>
      <c r="AS31" s="54" t="s">
        <v>61</v>
      </c>
      <c r="AT31" s="54" t="s">
        <v>61</v>
      </c>
      <c r="AU31" s="54" t="s">
        <v>61</v>
      </c>
      <c r="AV31" s="54" t="s">
        <v>151</v>
      </c>
      <c r="AW31" s="54" t="s">
        <v>61</v>
      </c>
      <c r="AX31" s="54" t="s">
        <v>151</v>
      </c>
      <c r="AY31" s="54" t="s">
        <v>151</v>
      </c>
      <c r="AZ31" s="54" t="s">
        <v>151</v>
      </c>
      <c r="BA31" s="54" t="s">
        <v>151</v>
      </c>
      <c r="BB31" s="54" t="s">
        <v>151</v>
      </c>
      <c r="BC31" s="54" t="s">
        <v>151</v>
      </c>
      <c r="BD31" s="54" t="s">
        <v>151</v>
      </c>
      <c r="BE31" s="54" t="s">
        <v>151</v>
      </c>
      <c r="BF31" s="54" t="s">
        <v>151</v>
      </c>
      <c r="BG31" s="54" t="s">
        <v>151</v>
      </c>
      <c r="BH31" s="54" t="s">
        <v>151</v>
      </c>
      <c r="BI31" s="54" t="s">
        <v>151</v>
      </c>
      <c r="BJ31" s="54" t="s">
        <v>151</v>
      </c>
      <c r="BK31" s="54" t="s">
        <v>151</v>
      </c>
      <c r="BL31" s="54" t="s">
        <v>151</v>
      </c>
      <c r="BM31" s="54" t="s">
        <v>151</v>
      </c>
      <c r="BN31" s="54" t="s">
        <v>151</v>
      </c>
      <c r="BO31" s="54" t="s">
        <v>151</v>
      </c>
      <c r="BP31" s="54" t="s">
        <v>151</v>
      </c>
      <c r="BQ31" s="54" t="s">
        <v>61</v>
      </c>
      <c r="BR31" s="54" t="s">
        <v>61</v>
      </c>
      <c r="BS31" s="54" t="s">
        <v>61</v>
      </c>
      <c r="BT31" s="54" t="s">
        <v>151</v>
      </c>
      <c r="BU31" s="54" t="s">
        <v>61</v>
      </c>
      <c r="BV31" s="54" t="s">
        <v>61</v>
      </c>
      <c r="BW31" s="54" t="s">
        <v>151</v>
      </c>
      <c r="BX31" s="54" t="s">
        <v>61</v>
      </c>
      <c r="BY31" s="54" t="s">
        <v>61</v>
      </c>
      <c r="BZ31" s="54" t="s">
        <v>61</v>
      </c>
      <c r="CA31" s="54" t="s">
        <v>61</v>
      </c>
      <c r="CB31" s="54" t="s">
        <v>61</v>
      </c>
      <c r="CC31" s="54" t="s">
        <v>61</v>
      </c>
      <c r="CD31" s="54" t="s">
        <v>61</v>
      </c>
      <c r="CE31" s="54" t="s">
        <v>61</v>
      </c>
      <c r="CF31" s="54" t="s">
        <v>151</v>
      </c>
      <c r="CG31" s="54" t="s">
        <v>61</v>
      </c>
      <c r="CH31" s="54" t="s">
        <v>61</v>
      </c>
      <c r="CI31" s="54" t="s">
        <v>61</v>
      </c>
      <c r="CJ31" s="54" t="s">
        <v>61</v>
      </c>
      <c r="CK31" s="54" t="s">
        <v>61</v>
      </c>
      <c r="CL31" s="54" t="s">
        <v>61</v>
      </c>
      <c r="CM31" s="54" t="s">
        <v>151</v>
      </c>
      <c r="CN31" s="54"/>
      <c r="CO31" s="54" t="s">
        <v>61</v>
      </c>
      <c r="CP31" s="54" t="s">
        <v>61</v>
      </c>
      <c r="CQ31" s="54" t="s">
        <v>61</v>
      </c>
      <c r="CR31" s="54" t="s">
        <v>61</v>
      </c>
      <c r="CS31" s="54" t="s">
        <v>151</v>
      </c>
      <c r="CT31" s="54" t="s">
        <v>151</v>
      </c>
      <c r="CU31" s="54" t="s">
        <v>61</v>
      </c>
      <c r="CV31" s="54" t="s">
        <v>151</v>
      </c>
      <c r="CW31" s="54" t="s">
        <v>61</v>
      </c>
      <c r="CX31" s="54" t="s">
        <v>61</v>
      </c>
      <c r="CY31" s="54" t="s">
        <v>61</v>
      </c>
      <c r="CZ31" s="54"/>
      <c r="DA31" s="54" t="s">
        <v>61</v>
      </c>
      <c r="DB31" s="54" t="s">
        <v>61</v>
      </c>
      <c r="DC31" s="54" t="s">
        <v>151</v>
      </c>
      <c r="DD31" s="54" t="s">
        <v>151</v>
      </c>
      <c r="DE31" s="54" t="s">
        <v>151</v>
      </c>
      <c r="DF31" s="54" t="s">
        <v>61</v>
      </c>
      <c r="DG31" s="54" t="s">
        <v>61</v>
      </c>
      <c r="DH31" s="54" t="s">
        <v>61</v>
      </c>
      <c r="DI31" s="54" t="s">
        <v>61</v>
      </c>
      <c r="DJ31" s="54" t="s">
        <v>61</v>
      </c>
      <c r="DK31" s="54" t="s">
        <v>151</v>
      </c>
      <c r="DL31" s="54" t="s">
        <v>151</v>
      </c>
      <c r="DM31" s="54" t="s">
        <v>151</v>
      </c>
      <c r="DN31" s="54" t="s">
        <v>61</v>
      </c>
      <c r="DO31" s="54" t="s">
        <v>61</v>
      </c>
      <c r="DP31" s="54" t="s">
        <v>61</v>
      </c>
      <c r="DQ31" s="54" t="s">
        <v>151</v>
      </c>
      <c r="DR31" s="54" t="s">
        <v>61</v>
      </c>
      <c r="DS31" s="54" t="s">
        <v>61</v>
      </c>
      <c r="DT31" s="54" t="s">
        <v>61</v>
      </c>
      <c r="DU31" s="54" t="s">
        <v>61</v>
      </c>
      <c r="DV31" s="54" t="s">
        <v>61</v>
      </c>
      <c r="DW31" s="54" t="s">
        <v>151</v>
      </c>
      <c r="DX31" s="54"/>
      <c r="DY31" s="54" t="s">
        <v>151</v>
      </c>
      <c r="DZ31" s="54"/>
      <c r="EA31" s="54"/>
      <c r="EB31" s="54"/>
      <c r="EC31" s="54"/>
      <c r="ED31" s="54"/>
      <c r="EE31" s="54" t="s">
        <v>61</v>
      </c>
      <c r="EF31" s="54" t="s">
        <v>61</v>
      </c>
      <c r="EG31" s="54" t="s">
        <v>61</v>
      </c>
      <c r="EH31" s="54" t="s">
        <v>61</v>
      </c>
      <c r="EI31" s="54" t="s">
        <v>61</v>
      </c>
      <c r="EJ31" s="54" t="s">
        <v>61</v>
      </c>
      <c r="EK31" s="54" t="s">
        <v>61</v>
      </c>
      <c r="EL31" s="54" t="s">
        <v>61</v>
      </c>
      <c r="EM31" s="54" t="s">
        <v>61</v>
      </c>
      <c r="EN31" s="54" t="s">
        <v>61</v>
      </c>
      <c r="EO31" s="54" t="s">
        <v>61</v>
      </c>
      <c r="EP31" s="54" t="s">
        <v>151</v>
      </c>
      <c r="EQ31" s="54" t="s">
        <v>61</v>
      </c>
      <c r="ER31" s="54" t="s">
        <v>61</v>
      </c>
      <c r="ES31" s="54" t="s">
        <v>61</v>
      </c>
      <c r="ET31" s="54" t="s">
        <v>61</v>
      </c>
      <c r="EU31" s="54" t="s">
        <v>61</v>
      </c>
      <c r="EV31" s="54" t="s">
        <v>61</v>
      </c>
      <c r="EW31" s="54" t="s">
        <v>61</v>
      </c>
      <c r="EX31" s="54" t="s">
        <v>61</v>
      </c>
      <c r="EY31" s="54" t="s">
        <v>61</v>
      </c>
      <c r="EZ31" s="54" t="s">
        <v>61</v>
      </c>
      <c r="FA31" s="54" t="s">
        <v>61</v>
      </c>
      <c r="FB31" s="54" t="s">
        <v>61</v>
      </c>
      <c r="FC31" s="54" t="s">
        <v>61</v>
      </c>
      <c r="FD31" s="54" t="s">
        <v>61</v>
      </c>
      <c r="FE31" s="54" t="s">
        <v>61</v>
      </c>
      <c r="FF31" s="54" t="s">
        <v>61</v>
      </c>
      <c r="FG31" s="54" t="s">
        <v>61</v>
      </c>
      <c r="FH31" s="54" t="s">
        <v>61</v>
      </c>
      <c r="FI31" s="54" t="s">
        <v>61</v>
      </c>
      <c r="FJ31" s="54" t="s">
        <v>61</v>
      </c>
      <c r="FK31" s="54" t="s">
        <v>61</v>
      </c>
      <c r="FL31" s="54" t="s">
        <v>61</v>
      </c>
      <c r="FM31" s="54" t="s">
        <v>61</v>
      </c>
      <c r="FN31" s="54" t="s">
        <v>61</v>
      </c>
      <c r="FO31" s="54" t="s">
        <v>61</v>
      </c>
      <c r="FP31" s="54" t="s">
        <v>61</v>
      </c>
      <c r="FQ31" s="54" t="s">
        <v>61</v>
      </c>
      <c r="FR31" s="54" t="s">
        <v>61</v>
      </c>
      <c r="FS31" s="54" t="s">
        <v>61</v>
      </c>
      <c r="FT31" s="54" t="s">
        <v>61</v>
      </c>
      <c r="FU31" s="54" t="s">
        <v>61</v>
      </c>
      <c r="FV31" s="54" t="s">
        <v>61</v>
      </c>
      <c r="FW31" s="54" t="s">
        <v>61</v>
      </c>
      <c r="FX31" s="54" t="s">
        <v>61</v>
      </c>
      <c r="FY31" s="54" t="s">
        <v>61</v>
      </c>
      <c r="FZ31" s="54" t="s">
        <v>61</v>
      </c>
      <c r="GA31" s="54" t="s">
        <v>61</v>
      </c>
      <c r="GB31" s="54" t="s">
        <v>61</v>
      </c>
      <c r="GC31" s="54" t="s">
        <v>61</v>
      </c>
      <c r="GD31" s="54" t="s">
        <v>61</v>
      </c>
      <c r="GE31" s="54" t="s">
        <v>61</v>
      </c>
      <c r="GF31" s="54" t="s">
        <v>61</v>
      </c>
      <c r="GG31" s="54" t="s">
        <v>61</v>
      </c>
      <c r="GH31" s="54" t="s">
        <v>61</v>
      </c>
      <c r="GI31" s="54" t="s">
        <v>61</v>
      </c>
      <c r="GJ31" s="54" t="s">
        <v>61</v>
      </c>
      <c r="GK31" s="54" t="s">
        <v>61</v>
      </c>
      <c r="GL31" s="54" t="s">
        <v>61</v>
      </c>
      <c r="GM31" s="54" t="s">
        <v>61</v>
      </c>
      <c r="GN31" s="54" t="s">
        <v>61</v>
      </c>
      <c r="GO31" s="54" t="s">
        <v>61</v>
      </c>
      <c r="GP31" s="54" t="s">
        <v>61</v>
      </c>
      <c r="GQ31" s="54" t="s">
        <v>61</v>
      </c>
      <c r="GR31" s="54" t="s">
        <v>61</v>
      </c>
      <c r="GS31" s="54" t="s">
        <v>61</v>
      </c>
      <c r="GT31" s="54" t="s">
        <v>61</v>
      </c>
      <c r="GU31" s="54" t="s">
        <v>61</v>
      </c>
      <c r="GV31" s="54" t="s">
        <v>61</v>
      </c>
    </row>
    <row r="32">
      <c r="A32" s="59"/>
      <c r="B32" s="58" t="s">
        <v>691</v>
      </c>
      <c r="D32" s="53" t="str">
        <f t="array" ref="D32">IF('Wątki'!B33=$A$1,INDIRECT("Klasa"),IF('Wątki'!B33=$A$2,INDIRECT("Grupa"),IF('Wątki'!B33=$A$3,INDIRECT("Postać"),"Nie")))</f>
        <v>Nie</v>
      </c>
      <c r="E32" s="53"/>
      <c r="F32" s="54" t="s">
        <v>62</v>
      </c>
      <c r="G32" s="54" t="s">
        <v>62</v>
      </c>
      <c r="H32" s="54" t="s">
        <v>62</v>
      </c>
      <c r="I32" s="54"/>
      <c r="J32" s="54" t="s">
        <v>62</v>
      </c>
      <c r="K32" s="54" t="s">
        <v>62</v>
      </c>
      <c r="L32" s="54" t="s">
        <v>62</v>
      </c>
      <c r="M32" s="54" t="s">
        <v>62</v>
      </c>
      <c r="N32" s="54" t="s">
        <v>62</v>
      </c>
      <c r="O32" s="54" t="s">
        <v>62</v>
      </c>
      <c r="P32" s="54" t="s">
        <v>62</v>
      </c>
      <c r="Q32" s="54" t="s">
        <v>62</v>
      </c>
      <c r="R32" s="54" t="s">
        <v>62</v>
      </c>
      <c r="S32" s="54" t="s">
        <v>62</v>
      </c>
      <c r="T32" s="54" t="s">
        <v>62</v>
      </c>
      <c r="U32" s="54" t="s">
        <v>62</v>
      </c>
      <c r="V32" s="54" t="s">
        <v>153</v>
      </c>
      <c r="W32" s="54" t="s">
        <v>62</v>
      </c>
      <c r="X32" s="54" t="s">
        <v>62</v>
      </c>
      <c r="Y32" s="54" t="s">
        <v>62</v>
      </c>
      <c r="Z32" s="54" t="s">
        <v>62</v>
      </c>
      <c r="AA32" s="54"/>
      <c r="AB32" s="54" t="s">
        <v>62</v>
      </c>
      <c r="AC32" s="54" t="s">
        <v>62</v>
      </c>
      <c r="AD32" s="54" t="s">
        <v>62</v>
      </c>
      <c r="AE32" s="54" t="s">
        <v>62</v>
      </c>
      <c r="AF32" s="54" t="s">
        <v>62</v>
      </c>
      <c r="AG32" s="54" t="s">
        <v>62</v>
      </c>
      <c r="AH32" s="54" t="s">
        <v>62</v>
      </c>
      <c r="AI32" s="54" t="s">
        <v>62</v>
      </c>
      <c r="AJ32" s="54" t="s">
        <v>62</v>
      </c>
      <c r="AK32" s="54" t="s">
        <v>62</v>
      </c>
      <c r="AL32" s="54" t="s">
        <v>153</v>
      </c>
      <c r="AM32" s="54" t="s">
        <v>62</v>
      </c>
      <c r="AN32" s="54" t="s">
        <v>62</v>
      </c>
      <c r="AO32" s="54" t="s">
        <v>62</v>
      </c>
      <c r="AP32" s="54" t="s">
        <v>62</v>
      </c>
      <c r="AQ32" s="54" t="s">
        <v>62</v>
      </c>
      <c r="AR32" s="54" t="s">
        <v>62</v>
      </c>
      <c r="AS32" s="54" t="s">
        <v>62</v>
      </c>
      <c r="AT32" s="54" t="s">
        <v>62</v>
      </c>
      <c r="AU32" s="54" t="s">
        <v>62</v>
      </c>
      <c r="AV32" s="54" t="s">
        <v>153</v>
      </c>
      <c r="AW32" s="54" t="s">
        <v>62</v>
      </c>
      <c r="AX32" s="54" t="s">
        <v>153</v>
      </c>
      <c r="AY32" s="54" t="s">
        <v>153</v>
      </c>
      <c r="AZ32" s="54" t="s">
        <v>153</v>
      </c>
      <c r="BA32" s="54" t="s">
        <v>153</v>
      </c>
      <c r="BB32" s="54" t="s">
        <v>153</v>
      </c>
      <c r="BC32" s="54" t="s">
        <v>153</v>
      </c>
      <c r="BD32" s="54" t="s">
        <v>153</v>
      </c>
      <c r="BE32" s="54" t="s">
        <v>153</v>
      </c>
      <c r="BF32" s="54" t="s">
        <v>153</v>
      </c>
      <c r="BG32" s="54" t="s">
        <v>153</v>
      </c>
      <c r="BH32" s="54" t="s">
        <v>153</v>
      </c>
      <c r="BI32" s="54" t="s">
        <v>153</v>
      </c>
      <c r="BJ32" s="54" t="s">
        <v>153</v>
      </c>
      <c r="BK32" s="54" t="s">
        <v>153</v>
      </c>
      <c r="BL32" s="54" t="s">
        <v>153</v>
      </c>
      <c r="BM32" s="54" t="s">
        <v>153</v>
      </c>
      <c r="BN32" s="54" t="s">
        <v>153</v>
      </c>
      <c r="BO32" s="54" t="s">
        <v>153</v>
      </c>
      <c r="BP32" s="54" t="s">
        <v>153</v>
      </c>
      <c r="BQ32" s="54" t="s">
        <v>62</v>
      </c>
      <c r="BR32" s="54" t="s">
        <v>62</v>
      </c>
      <c r="BS32" s="54" t="s">
        <v>62</v>
      </c>
      <c r="BT32" s="54" t="s">
        <v>153</v>
      </c>
      <c r="BU32" s="54" t="s">
        <v>62</v>
      </c>
      <c r="BV32" s="54" t="s">
        <v>62</v>
      </c>
      <c r="BW32" s="54" t="s">
        <v>153</v>
      </c>
      <c r="BX32" s="54" t="s">
        <v>62</v>
      </c>
      <c r="BY32" s="54" t="s">
        <v>62</v>
      </c>
      <c r="BZ32" s="54" t="s">
        <v>62</v>
      </c>
      <c r="CA32" s="54" t="s">
        <v>62</v>
      </c>
      <c r="CB32" s="54" t="s">
        <v>62</v>
      </c>
      <c r="CC32" s="54" t="s">
        <v>62</v>
      </c>
      <c r="CD32" s="54" t="s">
        <v>62</v>
      </c>
      <c r="CE32" s="54" t="s">
        <v>62</v>
      </c>
      <c r="CF32" s="54" t="s">
        <v>153</v>
      </c>
      <c r="CG32" s="54" t="s">
        <v>62</v>
      </c>
      <c r="CH32" s="54" t="s">
        <v>62</v>
      </c>
      <c r="CI32" s="54" t="s">
        <v>62</v>
      </c>
      <c r="CJ32" s="54" t="s">
        <v>62</v>
      </c>
      <c r="CK32" s="54" t="s">
        <v>62</v>
      </c>
      <c r="CL32" s="54" t="s">
        <v>62</v>
      </c>
      <c r="CM32" s="54" t="s">
        <v>153</v>
      </c>
      <c r="CN32" s="54"/>
      <c r="CO32" s="54" t="s">
        <v>62</v>
      </c>
      <c r="CP32" s="54" t="s">
        <v>62</v>
      </c>
      <c r="CQ32" s="54" t="s">
        <v>62</v>
      </c>
      <c r="CR32" s="54" t="s">
        <v>62</v>
      </c>
      <c r="CS32" s="54" t="s">
        <v>153</v>
      </c>
      <c r="CT32" s="54" t="s">
        <v>153</v>
      </c>
      <c r="CU32" s="54" t="s">
        <v>62</v>
      </c>
      <c r="CV32" s="54" t="s">
        <v>153</v>
      </c>
      <c r="CW32" s="54" t="s">
        <v>62</v>
      </c>
      <c r="CX32" s="54" t="s">
        <v>62</v>
      </c>
      <c r="CY32" s="54" t="s">
        <v>62</v>
      </c>
      <c r="CZ32" s="54"/>
      <c r="DA32" s="54" t="s">
        <v>62</v>
      </c>
      <c r="DB32" s="54" t="s">
        <v>62</v>
      </c>
      <c r="DC32" s="54" t="s">
        <v>153</v>
      </c>
      <c r="DD32" s="54" t="s">
        <v>153</v>
      </c>
      <c r="DE32" s="54" t="s">
        <v>153</v>
      </c>
      <c r="DF32" s="54" t="s">
        <v>62</v>
      </c>
      <c r="DG32" s="54" t="s">
        <v>62</v>
      </c>
      <c r="DH32" s="54" t="s">
        <v>62</v>
      </c>
      <c r="DI32" s="54" t="s">
        <v>62</v>
      </c>
      <c r="DJ32" s="54" t="s">
        <v>62</v>
      </c>
      <c r="DK32" s="54" t="s">
        <v>153</v>
      </c>
      <c r="DL32" s="54" t="s">
        <v>153</v>
      </c>
      <c r="DM32" s="54" t="s">
        <v>153</v>
      </c>
      <c r="DN32" s="54" t="s">
        <v>62</v>
      </c>
      <c r="DO32" s="54" t="s">
        <v>62</v>
      </c>
      <c r="DP32" s="54" t="s">
        <v>62</v>
      </c>
      <c r="DQ32" s="54" t="s">
        <v>153</v>
      </c>
      <c r="DR32" s="54" t="s">
        <v>62</v>
      </c>
      <c r="DS32" s="54" t="s">
        <v>62</v>
      </c>
      <c r="DT32" s="54" t="s">
        <v>62</v>
      </c>
      <c r="DU32" s="54" t="s">
        <v>62</v>
      </c>
      <c r="DV32" s="54" t="s">
        <v>62</v>
      </c>
      <c r="DW32" s="54" t="s">
        <v>153</v>
      </c>
      <c r="DX32" s="54"/>
      <c r="DY32" s="54" t="s">
        <v>153</v>
      </c>
      <c r="DZ32" s="54"/>
      <c r="EA32" s="54"/>
      <c r="EB32" s="54"/>
      <c r="EC32" s="54"/>
      <c r="ED32" s="54"/>
      <c r="EE32" s="54" t="s">
        <v>62</v>
      </c>
      <c r="EF32" s="54" t="s">
        <v>62</v>
      </c>
      <c r="EG32" s="54" t="s">
        <v>62</v>
      </c>
      <c r="EH32" s="54" t="s">
        <v>62</v>
      </c>
      <c r="EI32" s="54" t="s">
        <v>62</v>
      </c>
      <c r="EJ32" s="54" t="s">
        <v>62</v>
      </c>
      <c r="EK32" s="54" t="s">
        <v>62</v>
      </c>
      <c r="EL32" s="54" t="s">
        <v>62</v>
      </c>
      <c r="EM32" s="54" t="s">
        <v>62</v>
      </c>
      <c r="EN32" s="54" t="s">
        <v>62</v>
      </c>
      <c r="EO32" s="54" t="s">
        <v>62</v>
      </c>
      <c r="EP32" s="54" t="s">
        <v>153</v>
      </c>
      <c r="EQ32" s="54" t="s">
        <v>62</v>
      </c>
      <c r="ER32" s="54" t="s">
        <v>62</v>
      </c>
      <c r="ES32" s="54" t="s">
        <v>62</v>
      </c>
      <c r="ET32" s="54" t="s">
        <v>62</v>
      </c>
      <c r="EU32" s="54" t="s">
        <v>62</v>
      </c>
      <c r="EV32" s="54" t="s">
        <v>62</v>
      </c>
      <c r="EW32" s="54" t="s">
        <v>62</v>
      </c>
      <c r="EX32" s="54" t="s">
        <v>62</v>
      </c>
      <c r="EY32" s="54" t="s">
        <v>62</v>
      </c>
      <c r="EZ32" s="54" t="s">
        <v>62</v>
      </c>
      <c r="FA32" s="54" t="s">
        <v>62</v>
      </c>
      <c r="FB32" s="54" t="s">
        <v>62</v>
      </c>
      <c r="FC32" s="54" t="s">
        <v>62</v>
      </c>
      <c r="FD32" s="54" t="s">
        <v>62</v>
      </c>
      <c r="FE32" s="54" t="s">
        <v>62</v>
      </c>
      <c r="FF32" s="54" t="s">
        <v>62</v>
      </c>
      <c r="FG32" s="54" t="s">
        <v>62</v>
      </c>
      <c r="FH32" s="54" t="s">
        <v>62</v>
      </c>
      <c r="FI32" s="54" t="s">
        <v>62</v>
      </c>
      <c r="FJ32" s="54" t="s">
        <v>62</v>
      </c>
      <c r="FK32" s="54" t="s">
        <v>62</v>
      </c>
      <c r="FL32" s="54" t="s">
        <v>62</v>
      </c>
      <c r="FM32" s="54" t="s">
        <v>62</v>
      </c>
      <c r="FN32" s="54" t="s">
        <v>62</v>
      </c>
      <c r="FO32" s="54" t="s">
        <v>62</v>
      </c>
      <c r="FP32" s="54" t="s">
        <v>62</v>
      </c>
      <c r="FQ32" s="54" t="s">
        <v>62</v>
      </c>
      <c r="FR32" s="54" t="s">
        <v>62</v>
      </c>
      <c r="FS32" s="54" t="s">
        <v>62</v>
      </c>
      <c r="FT32" s="54" t="s">
        <v>62</v>
      </c>
      <c r="FU32" s="54" t="s">
        <v>62</v>
      </c>
      <c r="FV32" s="54" t="s">
        <v>62</v>
      </c>
      <c r="FW32" s="54" t="s">
        <v>62</v>
      </c>
      <c r="FX32" s="54" t="s">
        <v>62</v>
      </c>
      <c r="FY32" s="54" t="s">
        <v>62</v>
      </c>
      <c r="FZ32" s="54" t="s">
        <v>62</v>
      </c>
      <c r="GA32" s="54" t="s">
        <v>62</v>
      </c>
      <c r="GB32" s="54" t="s">
        <v>62</v>
      </c>
      <c r="GC32" s="54" t="s">
        <v>62</v>
      </c>
      <c r="GD32" s="54" t="s">
        <v>62</v>
      </c>
      <c r="GE32" s="54" t="s">
        <v>62</v>
      </c>
      <c r="GF32" s="54" t="s">
        <v>62</v>
      </c>
      <c r="GG32" s="54" t="s">
        <v>62</v>
      </c>
      <c r="GH32" s="54" t="s">
        <v>62</v>
      </c>
      <c r="GI32" s="54" t="s">
        <v>62</v>
      </c>
      <c r="GJ32" s="54" t="s">
        <v>62</v>
      </c>
      <c r="GK32" s="54" t="s">
        <v>62</v>
      </c>
      <c r="GL32" s="54" t="s">
        <v>62</v>
      </c>
      <c r="GM32" s="54" t="s">
        <v>62</v>
      </c>
      <c r="GN32" s="54" t="s">
        <v>62</v>
      </c>
      <c r="GO32" s="54" t="s">
        <v>62</v>
      </c>
      <c r="GP32" s="54" t="s">
        <v>62</v>
      </c>
      <c r="GQ32" s="54" t="s">
        <v>62</v>
      </c>
      <c r="GR32" s="54" t="s">
        <v>62</v>
      </c>
      <c r="GS32" s="54" t="s">
        <v>62</v>
      </c>
      <c r="GT32" s="54" t="s">
        <v>62</v>
      </c>
      <c r="GU32" s="54" t="s">
        <v>62</v>
      </c>
      <c r="GV32" s="54" t="s">
        <v>62</v>
      </c>
    </row>
    <row r="33">
      <c r="A33" s="58" t="s">
        <v>53</v>
      </c>
      <c r="B33" s="58" t="s">
        <v>54</v>
      </c>
      <c r="D33" s="53" t="str">
        <f t="array" ref="D33:E33">IF('Wątki'!B34=$A$1,INDIRECT("Klasa"),IF('Wątki'!B34=$A$2,INDIRECT("Grupa"),IF('Wątki'!B34=$A$3,INDIRECT("Postać"),"Nie")))</f>
        <v>Tak</v>
      </c>
      <c r="E33" s="53" t="s">
        <v>191</v>
      </c>
      <c r="F33" s="54" t="s">
        <v>63</v>
      </c>
      <c r="G33" s="54" t="s">
        <v>63</v>
      </c>
      <c r="H33" s="54" t="s">
        <v>63</v>
      </c>
      <c r="I33" s="54"/>
      <c r="J33" s="54" t="s">
        <v>63</v>
      </c>
      <c r="K33" s="54" t="s">
        <v>63</v>
      </c>
      <c r="L33" s="54" t="s">
        <v>63</v>
      </c>
      <c r="M33" s="54" t="s">
        <v>63</v>
      </c>
      <c r="N33" s="54" t="s">
        <v>63</v>
      </c>
      <c r="O33" s="54" t="s">
        <v>63</v>
      </c>
      <c r="P33" s="54" t="s">
        <v>63</v>
      </c>
      <c r="Q33" s="54" t="s">
        <v>63</v>
      </c>
      <c r="R33" s="54" t="s">
        <v>63</v>
      </c>
      <c r="S33" s="54" t="s">
        <v>63</v>
      </c>
      <c r="T33" s="54" t="s">
        <v>63</v>
      </c>
      <c r="U33" s="54" t="s">
        <v>63</v>
      </c>
      <c r="V33" s="54" t="s">
        <v>155</v>
      </c>
      <c r="W33" s="54" t="s">
        <v>63</v>
      </c>
      <c r="X33" s="54" t="s">
        <v>63</v>
      </c>
      <c r="Y33" s="54" t="s">
        <v>63</v>
      </c>
      <c r="Z33" s="54" t="s">
        <v>63</v>
      </c>
      <c r="AA33" s="54"/>
      <c r="AB33" s="54" t="s">
        <v>63</v>
      </c>
      <c r="AC33" s="54" t="s">
        <v>63</v>
      </c>
      <c r="AD33" s="54" t="s">
        <v>63</v>
      </c>
      <c r="AE33" s="54" t="s">
        <v>63</v>
      </c>
      <c r="AF33" s="54" t="s">
        <v>63</v>
      </c>
      <c r="AG33" s="54" t="s">
        <v>63</v>
      </c>
      <c r="AH33" s="54" t="s">
        <v>63</v>
      </c>
      <c r="AI33" s="54" t="s">
        <v>63</v>
      </c>
      <c r="AJ33" s="54" t="s">
        <v>63</v>
      </c>
      <c r="AK33" s="54" t="s">
        <v>63</v>
      </c>
      <c r="AL33" s="54" t="s">
        <v>155</v>
      </c>
      <c r="AM33" s="54" t="s">
        <v>63</v>
      </c>
      <c r="AN33" s="54" t="s">
        <v>63</v>
      </c>
      <c r="AO33" s="54" t="s">
        <v>63</v>
      </c>
      <c r="AP33" s="54" t="s">
        <v>63</v>
      </c>
      <c r="AQ33" s="54" t="s">
        <v>63</v>
      </c>
      <c r="AR33" s="54" t="s">
        <v>63</v>
      </c>
      <c r="AS33" s="54" t="s">
        <v>63</v>
      </c>
      <c r="AT33" s="54" t="s">
        <v>63</v>
      </c>
      <c r="AU33" s="54" t="s">
        <v>63</v>
      </c>
      <c r="AV33" s="54" t="s">
        <v>155</v>
      </c>
      <c r="AW33" s="54" t="s">
        <v>63</v>
      </c>
      <c r="AX33" s="54" t="s">
        <v>155</v>
      </c>
      <c r="AY33" s="54" t="s">
        <v>155</v>
      </c>
      <c r="AZ33" s="54" t="s">
        <v>155</v>
      </c>
      <c r="BA33" s="54" t="s">
        <v>155</v>
      </c>
      <c r="BB33" s="54" t="s">
        <v>155</v>
      </c>
      <c r="BC33" s="54" t="s">
        <v>155</v>
      </c>
      <c r="BD33" s="54" t="s">
        <v>155</v>
      </c>
      <c r="BE33" s="54" t="s">
        <v>155</v>
      </c>
      <c r="BF33" s="54" t="s">
        <v>155</v>
      </c>
      <c r="BG33" s="54" t="s">
        <v>155</v>
      </c>
      <c r="BH33" s="54" t="s">
        <v>155</v>
      </c>
      <c r="BI33" s="54" t="s">
        <v>155</v>
      </c>
      <c r="BJ33" s="54" t="s">
        <v>155</v>
      </c>
      <c r="BK33" s="54" t="s">
        <v>155</v>
      </c>
      <c r="BL33" s="54" t="s">
        <v>155</v>
      </c>
      <c r="BM33" s="54" t="s">
        <v>155</v>
      </c>
      <c r="BN33" s="54" t="s">
        <v>155</v>
      </c>
      <c r="BO33" s="54" t="s">
        <v>155</v>
      </c>
      <c r="BP33" s="54" t="s">
        <v>155</v>
      </c>
      <c r="BQ33" s="54" t="s">
        <v>63</v>
      </c>
      <c r="BR33" s="54" t="s">
        <v>63</v>
      </c>
      <c r="BS33" s="54" t="s">
        <v>63</v>
      </c>
      <c r="BT33" s="54" t="s">
        <v>155</v>
      </c>
      <c r="BU33" s="54" t="s">
        <v>63</v>
      </c>
      <c r="BV33" s="54" t="s">
        <v>63</v>
      </c>
      <c r="BW33" s="54" t="s">
        <v>155</v>
      </c>
      <c r="BX33" s="54" t="s">
        <v>63</v>
      </c>
      <c r="BY33" s="54" t="s">
        <v>63</v>
      </c>
      <c r="BZ33" s="54" t="s">
        <v>63</v>
      </c>
      <c r="CA33" s="54" t="s">
        <v>63</v>
      </c>
      <c r="CB33" s="54" t="s">
        <v>63</v>
      </c>
      <c r="CC33" s="54" t="s">
        <v>63</v>
      </c>
      <c r="CD33" s="54" t="s">
        <v>63</v>
      </c>
      <c r="CE33" s="54" t="s">
        <v>63</v>
      </c>
      <c r="CF33" s="54" t="s">
        <v>155</v>
      </c>
      <c r="CG33" s="54" t="s">
        <v>63</v>
      </c>
      <c r="CH33" s="54" t="s">
        <v>63</v>
      </c>
      <c r="CI33" s="54" t="s">
        <v>63</v>
      </c>
      <c r="CJ33" s="54" t="s">
        <v>63</v>
      </c>
      <c r="CK33" s="54" t="s">
        <v>63</v>
      </c>
      <c r="CL33" s="54" t="s">
        <v>63</v>
      </c>
      <c r="CM33" s="54" t="s">
        <v>155</v>
      </c>
      <c r="CN33" s="54"/>
      <c r="CO33" s="54" t="s">
        <v>63</v>
      </c>
      <c r="CP33" s="54" t="s">
        <v>63</v>
      </c>
      <c r="CQ33" s="54" t="s">
        <v>63</v>
      </c>
      <c r="CR33" s="54" t="s">
        <v>63</v>
      </c>
      <c r="CS33" s="54" t="s">
        <v>155</v>
      </c>
      <c r="CT33" s="54" t="s">
        <v>155</v>
      </c>
      <c r="CU33" s="54" t="s">
        <v>63</v>
      </c>
      <c r="CV33" s="54" t="s">
        <v>155</v>
      </c>
      <c r="CW33" s="54" t="s">
        <v>63</v>
      </c>
      <c r="CX33" s="54" t="s">
        <v>63</v>
      </c>
      <c r="CY33" s="54" t="s">
        <v>63</v>
      </c>
      <c r="CZ33" s="54"/>
      <c r="DA33" s="54" t="s">
        <v>63</v>
      </c>
      <c r="DB33" s="54" t="s">
        <v>63</v>
      </c>
      <c r="DC33" s="54" t="s">
        <v>155</v>
      </c>
      <c r="DD33" s="54" t="s">
        <v>155</v>
      </c>
      <c r="DE33" s="54" t="s">
        <v>155</v>
      </c>
      <c r="DF33" s="54" t="s">
        <v>63</v>
      </c>
      <c r="DG33" s="54" t="s">
        <v>63</v>
      </c>
      <c r="DH33" s="54" t="s">
        <v>63</v>
      </c>
      <c r="DI33" s="54" t="s">
        <v>63</v>
      </c>
      <c r="DJ33" s="54" t="s">
        <v>63</v>
      </c>
      <c r="DK33" s="54" t="s">
        <v>155</v>
      </c>
      <c r="DL33" s="54" t="s">
        <v>155</v>
      </c>
      <c r="DM33" s="54" t="s">
        <v>155</v>
      </c>
      <c r="DN33" s="54" t="s">
        <v>63</v>
      </c>
      <c r="DO33" s="54" t="s">
        <v>63</v>
      </c>
      <c r="DP33" s="54" t="s">
        <v>63</v>
      </c>
      <c r="DQ33" s="54" t="s">
        <v>155</v>
      </c>
      <c r="DR33" s="54" t="s">
        <v>63</v>
      </c>
      <c r="DS33" s="54" t="s">
        <v>63</v>
      </c>
      <c r="DT33" s="54" t="s">
        <v>63</v>
      </c>
      <c r="DU33" s="54" t="s">
        <v>63</v>
      </c>
      <c r="DV33" s="54" t="s">
        <v>63</v>
      </c>
      <c r="DW33" s="54" t="s">
        <v>155</v>
      </c>
      <c r="DX33" s="54"/>
      <c r="DY33" s="54" t="s">
        <v>155</v>
      </c>
      <c r="DZ33" s="54"/>
      <c r="EA33" s="54"/>
      <c r="EB33" s="54"/>
      <c r="EC33" s="54"/>
      <c r="ED33" s="54"/>
      <c r="EE33" s="54" t="s">
        <v>63</v>
      </c>
      <c r="EF33" s="54" t="s">
        <v>63</v>
      </c>
      <c r="EG33" s="54" t="s">
        <v>63</v>
      </c>
      <c r="EH33" s="54" t="s">
        <v>63</v>
      </c>
      <c r="EI33" s="54" t="s">
        <v>63</v>
      </c>
      <c r="EJ33" s="54" t="s">
        <v>63</v>
      </c>
      <c r="EK33" s="54" t="s">
        <v>63</v>
      </c>
      <c r="EL33" s="54" t="s">
        <v>63</v>
      </c>
      <c r="EM33" s="54" t="s">
        <v>63</v>
      </c>
      <c r="EN33" s="54" t="s">
        <v>63</v>
      </c>
      <c r="EO33" s="54" t="s">
        <v>63</v>
      </c>
      <c r="EP33" s="54" t="s">
        <v>155</v>
      </c>
      <c r="EQ33" s="54" t="s">
        <v>63</v>
      </c>
      <c r="ER33" s="54" t="s">
        <v>63</v>
      </c>
      <c r="ES33" s="54" t="s">
        <v>63</v>
      </c>
      <c r="ET33" s="54" t="s">
        <v>63</v>
      </c>
      <c r="EU33" s="54" t="s">
        <v>63</v>
      </c>
      <c r="EV33" s="54" t="s">
        <v>63</v>
      </c>
      <c r="EW33" s="54" t="s">
        <v>63</v>
      </c>
      <c r="EX33" s="54" t="s">
        <v>63</v>
      </c>
      <c r="EY33" s="54" t="s">
        <v>63</v>
      </c>
      <c r="EZ33" s="54" t="s">
        <v>63</v>
      </c>
      <c r="FA33" s="54" t="s">
        <v>63</v>
      </c>
      <c r="FB33" s="54" t="s">
        <v>63</v>
      </c>
      <c r="FC33" s="54" t="s">
        <v>63</v>
      </c>
      <c r="FD33" s="54" t="s">
        <v>63</v>
      </c>
      <c r="FE33" s="54" t="s">
        <v>63</v>
      </c>
      <c r="FF33" s="54" t="s">
        <v>63</v>
      </c>
      <c r="FG33" s="54" t="s">
        <v>63</v>
      </c>
      <c r="FH33" s="54" t="s">
        <v>63</v>
      </c>
      <c r="FI33" s="54" t="s">
        <v>63</v>
      </c>
      <c r="FJ33" s="54" t="s">
        <v>63</v>
      </c>
      <c r="FK33" s="54" t="s">
        <v>63</v>
      </c>
      <c r="FL33" s="54" t="s">
        <v>63</v>
      </c>
      <c r="FM33" s="54" t="s">
        <v>63</v>
      </c>
      <c r="FN33" s="54" t="s">
        <v>63</v>
      </c>
      <c r="FO33" s="54" t="s">
        <v>63</v>
      </c>
      <c r="FP33" s="54" t="s">
        <v>63</v>
      </c>
      <c r="FQ33" s="54" t="s">
        <v>63</v>
      </c>
      <c r="FR33" s="54" t="s">
        <v>63</v>
      </c>
      <c r="FS33" s="54" t="s">
        <v>63</v>
      </c>
      <c r="FT33" s="54" t="s">
        <v>63</v>
      </c>
      <c r="FU33" s="54" t="s">
        <v>63</v>
      </c>
      <c r="FV33" s="54" t="s">
        <v>63</v>
      </c>
      <c r="FW33" s="54" t="s">
        <v>63</v>
      </c>
      <c r="FX33" s="54" t="s">
        <v>63</v>
      </c>
      <c r="FY33" s="54" t="s">
        <v>63</v>
      </c>
      <c r="FZ33" s="54" t="s">
        <v>63</v>
      </c>
      <c r="GA33" s="54" t="s">
        <v>63</v>
      </c>
      <c r="GB33" s="54" t="s">
        <v>63</v>
      </c>
      <c r="GC33" s="54" t="s">
        <v>63</v>
      </c>
      <c r="GD33" s="54" t="s">
        <v>63</v>
      </c>
      <c r="GE33" s="54" t="s">
        <v>63</v>
      </c>
      <c r="GF33" s="54" t="s">
        <v>63</v>
      </c>
      <c r="GG33" s="54" t="s">
        <v>63</v>
      </c>
      <c r="GH33" s="54" t="s">
        <v>63</v>
      </c>
      <c r="GI33" s="54" t="s">
        <v>63</v>
      </c>
      <c r="GJ33" s="54" t="s">
        <v>63</v>
      </c>
      <c r="GK33" s="54" t="s">
        <v>63</v>
      </c>
      <c r="GL33" s="54" t="s">
        <v>63</v>
      </c>
      <c r="GM33" s="54" t="s">
        <v>63</v>
      </c>
      <c r="GN33" s="54" t="s">
        <v>63</v>
      </c>
      <c r="GO33" s="54" t="s">
        <v>63</v>
      </c>
      <c r="GP33" s="54" t="s">
        <v>63</v>
      </c>
      <c r="GQ33" s="54" t="s">
        <v>63</v>
      </c>
      <c r="GR33" s="54" t="s">
        <v>63</v>
      </c>
      <c r="GS33" s="54" t="s">
        <v>63</v>
      </c>
      <c r="GT33" s="54" t="s">
        <v>63</v>
      </c>
      <c r="GU33" s="54" t="s">
        <v>63</v>
      </c>
      <c r="GV33" s="54" t="s">
        <v>63</v>
      </c>
    </row>
    <row r="34">
      <c r="A34" s="59"/>
      <c r="B34" s="58" t="s">
        <v>692</v>
      </c>
      <c r="D34" s="53" t="str">
        <f t="array" ref="D34">IF('Wątki'!B35=$A$1,INDIRECT("Klasa"),IF('Wątki'!B35=$A$2,INDIRECT("Grupa"),IF('Wątki'!B35=$A$3,INDIRECT("Postać"),"Nie")))</f>
        <v>Nie</v>
      </c>
      <c r="E34" s="53"/>
      <c r="F34" s="54" t="s">
        <v>64</v>
      </c>
      <c r="G34" s="54" t="s">
        <v>64</v>
      </c>
      <c r="H34" s="54" t="s">
        <v>64</v>
      </c>
      <c r="I34" s="54"/>
      <c r="J34" s="54" t="s">
        <v>64</v>
      </c>
      <c r="K34" s="54" t="s">
        <v>64</v>
      </c>
      <c r="L34" s="54" t="s">
        <v>64</v>
      </c>
      <c r="M34" s="54" t="s">
        <v>64</v>
      </c>
      <c r="N34" s="54" t="s">
        <v>64</v>
      </c>
      <c r="O34" s="54" t="s">
        <v>64</v>
      </c>
      <c r="P34" s="54" t="s">
        <v>64</v>
      </c>
      <c r="Q34" s="54" t="s">
        <v>64</v>
      </c>
      <c r="R34" s="54" t="s">
        <v>64</v>
      </c>
      <c r="S34" s="54" t="s">
        <v>64</v>
      </c>
      <c r="T34" s="54" t="s">
        <v>64</v>
      </c>
      <c r="U34" s="54" t="s">
        <v>64</v>
      </c>
      <c r="V34" s="54" t="s">
        <v>157</v>
      </c>
      <c r="W34" s="54" t="s">
        <v>64</v>
      </c>
      <c r="X34" s="54" t="s">
        <v>64</v>
      </c>
      <c r="Y34" s="54" t="s">
        <v>64</v>
      </c>
      <c r="Z34" s="54" t="s">
        <v>64</v>
      </c>
      <c r="AA34" s="54"/>
      <c r="AB34" s="54" t="s">
        <v>64</v>
      </c>
      <c r="AC34" s="54" t="s">
        <v>64</v>
      </c>
      <c r="AD34" s="54" t="s">
        <v>64</v>
      </c>
      <c r="AE34" s="54" t="s">
        <v>64</v>
      </c>
      <c r="AF34" s="54" t="s">
        <v>64</v>
      </c>
      <c r="AG34" s="54" t="s">
        <v>64</v>
      </c>
      <c r="AH34" s="54" t="s">
        <v>64</v>
      </c>
      <c r="AI34" s="54" t="s">
        <v>64</v>
      </c>
      <c r="AJ34" s="54" t="s">
        <v>64</v>
      </c>
      <c r="AK34" s="54" t="s">
        <v>64</v>
      </c>
      <c r="AL34" s="54" t="s">
        <v>157</v>
      </c>
      <c r="AM34" s="54" t="s">
        <v>64</v>
      </c>
      <c r="AN34" s="54" t="s">
        <v>64</v>
      </c>
      <c r="AO34" s="54" t="s">
        <v>64</v>
      </c>
      <c r="AP34" s="54" t="s">
        <v>64</v>
      </c>
      <c r="AQ34" s="54" t="s">
        <v>64</v>
      </c>
      <c r="AR34" s="54" t="s">
        <v>64</v>
      </c>
      <c r="AS34" s="54" t="s">
        <v>64</v>
      </c>
      <c r="AT34" s="54" t="s">
        <v>64</v>
      </c>
      <c r="AU34" s="54" t="s">
        <v>64</v>
      </c>
      <c r="AV34" s="54" t="s">
        <v>157</v>
      </c>
      <c r="AW34" s="54" t="s">
        <v>64</v>
      </c>
      <c r="AX34" s="54" t="s">
        <v>157</v>
      </c>
      <c r="AY34" s="54" t="s">
        <v>157</v>
      </c>
      <c r="AZ34" s="54" t="s">
        <v>157</v>
      </c>
      <c r="BA34" s="54" t="s">
        <v>157</v>
      </c>
      <c r="BB34" s="54" t="s">
        <v>157</v>
      </c>
      <c r="BC34" s="54" t="s">
        <v>157</v>
      </c>
      <c r="BD34" s="54" t="s">
        <v>157</v>
      </c>
      <c r="BE34" s="54" t="s">
        <v>157</v>
      </c>
      <c r="BF34" s="54" t="s">
        <v>157</v>
      </c>
      <c r="BG34" s="54" t="s">
        <v>157</v>
      </c>
      <c r="BH34" s="54" t="s">
        <v>157</v>
      </c>
      <c r="BI34" s="54" t="s">
        <v>157</v>
      </c>
      <c r="BJ34" s="54" t="s">
        <v>157</v>
      </c>
      <c r="BK34" s="54" t="s">
        <v>157</v>
      </c>
      <c r="BL34" s="54" t="s">
        <v>157</v>
      </c>
      <c r="BM34" s="54" t="s">
        <v>157</v>
      </c>
      <c r="BN34" s="54" t="s">
        <v>157</v>
      </c>
      <c r="BO34" s="54" t="s">
        <v>157</v>
      </c>
      <c r="BP34" s="54" t="s">
        <v>157</v>
      </c>
      <c r="BQ34" s="54" t="s">
        <v>64</v>
      </c>
      <c r="BR34" s="54" t="s">
        <v>64</v>
      </c>
      <c r="BS34" s="54" t="s">
        <v>64</v>
      </c>
      <c r="BT34" s="54" t="s">
        <v>157</v>
      </c>
      <c r="BU34" s="54" t="s">
        <v>64</v>
      </c>
      <c r="BV34" s="54" t="s">
        <v>64</v>
      </c>
      <c r="BW34" s="54" t="s">
        <v>157</v>
      </c>
      <c r="BX34" s="54" t="s">
        <v>64</v>
      </c>
      <c r="BY34" s="54" t="s">
        <v>64</v>
      </c>
      <c r="BZ34" s="54" t="s">
        <v>64</v>
      </c>
      <c r="CA34" s="54" t="s">
        <v>64</v>
      </c>
      <c r="CB34" s="54" t="s">
        <v>64</v>
      </c>
      <c r="CC34" s="54" t="s">
        <v>64</v>
      </c>
      <c r="CD34" s="54" t="s">
        <v>64</v>
      </c>
      <c r="CE34" s="54" t="s">
        <v>64</v>
      </c>
      <c r="CF34" s="54" t="s">
        <v>157</v>
      </c>
      <c r="CG34" s="54" t="s">
        <v>64</v>
      </c>
      <c r="CH34" s="54" t="s">
        <v>64</v>
      </c>
      <c r="CI34" s="54" t="s">
        <v>64</v>
      </c>
      <c r="CJ34" s="54" t="s">
        <v>64</v>
      </c>
      <c r="CK34" s="54" t="s">
        <v>64</v>
      </c>
      <c r="CL34" s="54" t="s">
        <v>64</v>
      </c>
      <c r="CM34" s="54" t="s">
        <v>157</v>
      </c>
      <c r="CN34" s="54"/>
      <c r="CO34" s="54" t="s">
        <v>64</v>
      </c>
      <c r="CP34" s="54" t="s">
        <v>64</v>
      </c>
      <c r="CQ34" s="54" t="s">
        <v>64</v>
      </c>
      <c r="CR34" s="54" t="s">
        <v>64</v>
      </c>
      <c r="CS34" s="54" t="s">
        <v>157</v>
      </c>
      <c r="CT34" s="54" t="s">
        <v>157</v>
      </c>
      <c r="CU34" s="54" t="s">
        <v>64</v>
      </c>
      <c r="CV34" s="54" t="s">
        <v>157</v>
      </c>
      <c r="CW34" s="54" t="s">
        <v>64</v>
      </c>
      <c r="CX34" s="54" t="s">
        <v>64</v>
      </c>
      <c r="CY34" s="54" t="s">
        <v>64</v>
      </c>
      <c r="CZ34" s="54"/>
      <c r="DA34" s="54" t="s">
        <v>64</v>
      </c>
      <c r="DB34" s="54" t="s">
        <v>64</v>
      </c>
      <c r="DC34" s="54" t="s">
        <v>157</v>
      </c>
      <c r="DD34" s="54" t="s">
        <v>157</v>
      </c>
      <c r="DE34" s="54" t="s">
        <v>157</v>
      </c>
      <c r="DF34" s="54" t="s">
        <v>64</v>
      </c>
      <c r="DG34" s="54" t="s">
        <v>64</v>
      </c>
      <c r="DH34" s="54" t="s">
        <v>64</v>
      </c>
      <c r="DI34" s="54" t="s">
        <v>64</v>
      </c>
      <c r="DJ34" s="54" t="s">
        <v>64</v>
      </c>
      <c r="DK34" s="54" t="s">
        <v>157</v>
      </c>
      <c r="DL34" s="54" t="s">
        <v>157</v>
      </c>
      <c r="DM34" s="54" t="s">
        <v>157</v>
      </c>
      <c r="DN34" s="54" t="s">
        <v>64</v>
      </c>
      <c r="DO34" s="54" t="s">
        <v>64</v>
      </c>
      <c r="DP34" s="54" t="s">
        <v>64</v>
      </c>
      <c r="DQ34" s="54" t="s">
        <v>157</v>
      </c>
      <c r="DR34" s="54" t="s">
        <v>64</v>
      </c>
      <c r="DS34" s="54" t="s">
        <v>64</v>
      </c>
      <c r="DT34" s="54" t="s">
        <v>64</v>
      </c>
      <c r="DU34" s="54" t="s">
        <v>64</v>
      </c>
      <c r="DV34" s="54" t="s">
        <v>64</v>
      </c>
      <c r="DW34" s="54" t="s">
        <v>157</v>
      </c>
      <c r="DX34" s="54"/>
      <c r="DY34" s="54" t="s">
        <v>157</v>
      </c>
      <c r="DZ34" s="54"/>
      <c r="EA34" s="54"/>
      <c r="EB34" s="54"/>
      <c r="EC34" s="54"/>
      <c r="ED34" s="54"/>
      <c r="EE34" s="54" t="s">
        <v>64</v>
      </c>
      <c r="EF34" s="54" t="s">
        <v>64</v>
      </c>
      <c r="EG34" s="54" t="s">
        <v>64</v>
      </c>
      <c r="EH34" s="54" t="s">
        <v>64</v>
      </c>
      <c r="EI34" s="54" t="s">
        <v>64</v>
      </c>
      <c r="EJ34" s="54" t="s">
        <v>64</v>
      </c>
      <c r="EK34" s="54" t="s">
        <v>64</v>
      </c>
      <c r="EL34" s="54" t="s">
        <v>64</v>
      </c>
      <c r="EM34" s="54" t="s">
        <v>64</v>
      </c>
      <c r="EN34" s="54" t="s">
        <v>64</v>
      </c>
      <c r="EO34" s="54" t="s">
        <v>64</v>
      </c>
      <c r="EP34" s="54" t="s">
        <v>157</v>
      </c>
      <c r="EQ34" s="54" t="s">
        <v>64</v>
      </c>
      <c r="ER34" s="54" t="s">
        <v>64</v>
      </c>
      <c r="ES34" s="54" t="s">
        <v>64</v>
      </c>
      <c r="ET34" s="54" t="s">
        <v>64</v>
      </c>
      <c r="EU34" s="54" t="s">
        <v>64</v>
      </c>
      <c r="EV34" s="54" t="s">
        <v>64</v>
      </c>
      <c r="EW34" s="54" t="s">
        <v>64</v>
      </c>
      <c r="EX34" s="54" t="s">
        <v>64</v>
      </c>
      <c r="EY34" s="54" t="s">
        <v>64</v>
      </c>
      <c r="EZ34" s="54" t="s">
        <v>64</v>
      </c>
      <c r="FA34" s="54" t="s">
        <v>64</v>
      </c>
      <c r="FB34" s="54" t="s">
        <v>64</v>
      </c>
      <c r="FC34" s="54" t="s">
        <v>64</v>
      </c>
      <c r="FD34" s="54" t="s">
        <v>64</v>
      </c>
      <c r="FE34" s="54" t="s">
        <v>64</v>
      </c>
      <c r="FF34" s="54" t="s">
        <v>64</v>
      </c>
      <c r="FG34" s="54" t="s">
        <v>64</v>
      </c>
      <c r="FH34" s="54" t="s">
        <v>64</v>
      </c>
      <c r="FI34" s="54" t="s">
        <v>64</v>
      </c>
      <c r="FJ34" s="54" t="s">
        <v>64</v>
      </c>
      <c r="FK34" s="54" t="s">
        <v>64</v>
      </c>
      <c r="FL34" s="54" t="s">
        <v>64</v>
      </c>
      <c r="FM34" s="54" t="s">
        <v>64</v>
      </c>
      <c r="FN34" s="54" t="s">
        <v>64</v>
      </c>
      <c r="FO34" s="54" t="s">
        <v>64</v>
      </c>
      <c r="FP34" s="54" t="s">
        <v>64</v>
      </c>
      <c r="FQ34" s="54" t="s">
        <v>64</v>
      </c>
      <c r="FR34" s="54" t="s">
        <v>64</v>
      </c>
      <c r="FS34" s="54" t="s">
        <v>64</v>
      </c>
      <c r="FT34" s="54" t="s">
        <v>64</v>
      </c>
      <c r="FU34" s="54" t="s">
        <v>64</v>
      </c>
      <c r="FV34" s="54" t="s">
        <v>64</v>
      </c>
      <c r="FW34" s="54" t="s">
        <v>64</v>
      </c>
      <c r="FX34" s="54" t="s">
        <v>64</v>
      </c>
      <c r="FY34" s="54" t="s">
        <v>64</v>
      </c>
      <c r="FZ34" s="54" t="s">
        <v>64</v>
      </c>
      <c r="GA34" s="54" t="s">
        <v>64</v>
      </c>
      <c r="GB34" s="54" t="s">
        <v>64</v>
      </c>
      <c r="GC34" s="54" t="s">
        <v>64</v>
      </c>
      <c r="GD34" s="54" t="s">
        <v>64</v>
      </c>
      <c r="GE34" s="54" t="s">
        <v>64</v>
      </c>
      <c r="GF34" s="54" t="s">
        <v>64</v>
      </c>
      <c r="GG34" s="54" t="s">
        <v>64</v>
      </c>
      <c r="GH34" s="54" t="s">
        <v>64</v>
      </c>
      <c r="GI34" s="54" t="s">
        <v>64</v>
      </c>
      <c r="GJ34" s="54" t="s">
        <v>64</v>
      </c>
      <c r="GK34" s="54" t="s">
        <v>64</v>
      </c>
      <c r="GL34" s="54" t="s">
        <v>64</v>
      </c>
      <c r="GM34" s="54" t="s">
        <v>64</v>
      </c>
      <c r="GN34" s="54" t="s">
        <v>64</v>
      </c>
      <c r="GO34" s="54" t="s">
        <v>64</v>
      </c>
      <c r="GP34" s="54" t="s">
        <v>64</v>
      </c>
      <c r="GQ34" s="54" t="s">
        <v>64</v>
      </c>
      <c r="GR34" s="54" t="s">
        <v>64</v>
      </c>
      <c r="GS34" s="54" t="s">
        <v>64</v>
      </c>
      <c r="GT34" s="54" t="s">
        <v>64</v>
      </c>
      <c r="GU34" s="54" t="s">
        <v>64</v>
      </c>
      <c r="GV34" s="54" t="s">
        <v>64</v>
      </c>
    </row>
    <row r="35">
      <c r="A35" s="59"/>
      <c r="B35" s="58" t="s">
        <v>693</v>
      </c>
      <c r="D35" s="53" t="str">
        <f t="array" ref="D35">IF('Wątki'!B36=$A$1,INDIRECT("Klasa"),IF('Wątki'!B36=$A$2,INDIRECT("Grupa"),IF('Wątki'!B36=$A$3,INDIRECT("Postać"),"Nie")))</f>
        <v>Nie</v>
      </c>
      <c r="E35" s="53"/>
      <c r="F35" s="54" t="s">
        <v>66</v>
      </c>
      <c r="G35" s="54" t="s">
        <v>66</v>
      </c>
      <c r="H35" s="54" t="s">
        <v>66</v>
      </c>
      <c r="I35" s="54"/>
      <c r="J35" s="54" t="s">
        <v>66</v>
      </c>
      <c r="K35" s="54" t="s">
        <v>66</v>
      </c>
      <c r="L35" s="54" t="s">
        <v>66</v>
      </c>
      <c r="M35" s="54" t="s">
        <v>66</v>
      </c>
      <c r="N35" s="54" t="s">
        <v>66</v>
      </c>
      <c r="O35" s="54" t="s">
        <v>66</v>
      </c>
      <c r="P35" s="54" t="s">
        <v>66</v>
      </c>
      <c r="Q35" s="54" t="s">
        <v>66</v>
      </c>
      <c r="R35" s="54" t="s">
        <v>66</v>
      </c>
      <c r="S35" s="54" t="s">
        <v>66</v>
      </c>
      <c r="T35" s="54" t="s">
        <v>66</v>
      </c>
      <c r="U35" s="54" t="s">
        <v>66</v>
      </c>
      <c r="V35" s="54" t="s">
        <v>159</v>
      </c>
      <c r="W35" s="54" t="s">
        <v>66</v>
      </c>
      <c r="X35" s="54" t="s">
        <v>66</v>
      </c>
      <c r="Y35" s="54" t="s">
        <v>66</v>
      </c>
      <c r="Z35" s="54" t="s">
        <v>66</v>
      </c>
      <c r="AA35" s="54"/>
      <c r="AB35" s="54" t="s">
        <v>66</v>
      </c>
      <c r="AC35" s="54" t="s">
        <v>66</v>
      </c>
      <c r="AD35" s="54" t="s">
        <v>66</v>
      </c>
      <c r="AE35" s="54" t="s">
        <v>66</v>
      </c>
      <c r="AF35" s="54" t="s">
        <v>66</v>
      </c>
      <c r="AG35" s="54" t="s">
        <v>66</v>
      </c>
      <c r="AH35" s="54" t="s">
        <v>66</v>
      </c>
      <c r="AI35" s="54" t="s">
        <v>66</v>
      </c>
      <c r="AJ35" s="54" t="s">
        <v>66</v>
      </c>
      <c r="AK35" s="54" t="s">
        <v>66</v>
      </c>
      <c r="AL35" s="54" t="s">
        <v>159</v>
      </c>
      <c r="AM35" s="54" t="s">
        <v>66</v>
      </c>
      <c r="AN35" s="54" t="s">
        <v>66</v>
      </c>
      <c r="AO35" s="54" t="s">
        <v>66</v>
      </c>
      <c r="AP35" s="54" t="s">
        <v>66</v>
      </c>
      <c r="AQ35" s="54" t="s">
        <v>66</v>
      </c>
      <c r="AR35" s="54" t="s">
        <v>66</v>
      </c>
      <c r="AS35" s="54" t="s">
        <v>66</v>
      </c>
      <c r="AT35" s="54" t="s">
        <v>66</v>
      </c>
      <c r="AU35" s="54" t="s">
        <v>66</v>
      </c>
      <c r="AV35" s="54" t="s">
        <v>159</v>
      </c>
      <c r="AW35" s="54" t="s">
        <v>66</v>
      </c>
      <c r="AX35" s="54" t="s">
        <v>159</v>
      </c>
      <c r="AY35" s="54" t="s">
        <v>159</v>
      </c>
      <c r="AZ35" s="54" t="s">
        <v>159</v>
      </c>
      <c r="BA35" s="54" t="s">
        <v>159</v>
      </c>
      <c r="BB35" s="54" t="s">
        <v>159</v>
      </c>
      <c r="BC35" s="54" t="s">
        <v>159</v>
      </c>
      <c r="BD35" s="54" t="s">
        <v>159</v>
      </c>
      <c r="BE35" s="54" t="s">
        <v>159</v>
      </c>
      <c r="BF35" s="54" t="s">
        <v>159</v>
      </c>
      <c r="BG35" s="54" t="s">
        <v>159</v>
      </c>
      <c r="BH35" s="54" t="s">
        <v>159</v>
      </c>
      <c r="BI35" s="54" t="s">
        <v>159</v>
      </c>
      <c r="BJ35" s="54" t="s">
        <v>159</v>
      </c>
      <c r="BK35" s="54" t="s">
        <v>159</v>
      </c>
      <c r="BL35" s="54" t="s">
        <v>159</v>
      </c>
      <c r="BM35" s="54" t="s">
        <v>159</v>
      </c>
      <c r="BN35" s="54" t="s">
        <v>159</v>
      </c>
      <c r="BO35" s="54" t="s">
        <v>159</v>
      </c>
      <c r="BP35" s="54" t="s">
        <v>159</v>
      </c>
      <c r="BQ35" s="54" t="s">
        <v>66</v>
      </c>
      <c r="BR35" s="54" t="s">
        <v>66</v>
      </c>
      <c r="BS35" s="54" t="s">
        <v>66</v>
      </c>
      <c r="BT35" s="54" t="s">
        <v>159</v>
      </c>
      <c r="BU35" s="54" t="s">
        <v>66</v>
      </c>
      <c r="BV35" s="54" t="s">
        <v>66</v>
      </c>
      <c r="BW35" s="54" t="s">
        <v>159</v>
      </c>
      <c r="BX35" s="54" t="s">
        <v>66</v>
      </c>
      <c r="BY35" s="54" t="s">
        <v>66</v>
      </c>
      <c r="BZ35" s="54" t="s">
        <v>66</v>
      </c>
      <c r="CA35" s="54" t="s">
        <v>66</v>
      </c>
      <c r="CB35" s="54" t="s">
        <v>66</v>
      </c>
      <c r="CC35" s="54" t="s">
        <v>66</v>
      </c>
      <c r="CD35" s="54" t="s">
        <v>66</v>
      </c>
      <c r="CE35" s="54" t="s">
        <v>66</v>
      </c>
      <c r="CF35" s="54" t="s">
        <v>159</v>
      </c>
      <c r="CG35" s="54" t="s">
        <v>66</v>
      </c>
      <c r="CH35" s="54" t="s">
        <v>66</v>
      </c>
      <c r="CI35" s="54" t="s">
        <v>66</v>
      </c>
      <c r="CJ35" s="54" t="s">
        <v>66</v>
      </c>
      <c r="CK35" s="54" t="s">
        <v>66</v>
      </c>
      <c r="CL35" s="54" t="s">
        <v>66</v>
      </c>
      <c r="CM35" s="54" t="s">
        <v>159</v>
      </c>
      <c r="CN35" s="54"/>
      <c r="CO35" s="54" t="s">
        <v>66</v>
      </c>
      <c r="CP35" s="54" t="s">
        <v>66</v>
      </c>
      <c r="CQ35" s="54" t="s">
        <v>66</v>
      </c>
      <c r="CR35" s="54" t="s">
        <v>66</v>
      </c>
      <c r="CS35" s="54" t="s">
        <v>159</v>
      </c>
      <c r="CT35" s="54" t="s">
        <v>159</v>
      </c>
      <c r="CU35" s="54" t="s">
        <v>66</v>
      </c>
      <c r="CV35" s="54" t="s">
        <v>159</v>
      </c>
      <c r="CW35" s="54" t="s">
        <v>66</v>
      </c>
      <c r="CX35" s="54" t="s">
        <v>66</v>
      </c>
      <c r="CY35" s="54" t="s">
        <v>66</v>
      </c>
      <c r="CZ35" s="54"/>
      <c r="DA35" s="54" t="s">
        <v>66</v>
      </c>
      <c r="DB35" s="54" t="s">
        <v>66</v>
      </c>
      <c r="DC35" s="54" t="s">
        <v>159</v>
      </c>
      <c r="DD35" s="54" t="s">
        <v>159</v>
      </c>
      <c r="DE35" s="54" t="s">
        <v>159</v>
      </c>
      <c r="DF35" s="54" t="s">
        <v>66</v>
      </c>
      <c r="DG35" s="54" t="s">
        <v>66</v>
      </c>
      <c r="DH35" s="54" t="s">
        <v>66</v>
      </c>
      <c r="DI35" s="54" t="s">
        <v>66</v>
      </c>
      <c r="DJ35" s="54" t="s">
        <v>66</v>
      </c>
      <c r="DK35" s="54" t="s">
        <v>159</v>
      </c>
      <c r="DL35" s="54" t="s">
        <v>159</v>
      </c>
      <c r="DM35" s="54" t="s">
        <v>159</v>
      </c>
      <c r="DN35" s="54" t="s">
        <v>66</v>
      </c>
      <c r="DO35" s="54" t="s">
        <v>66</v>
      </c>
      <c r="DP35" s="54" t="s">
        <v>66</v>
      </c>
      <c r="DQ35" s="54" t="s">
        <v>159</v>
      </c>
      <c r="DR35" s="54" t="s">
        <v>66</v>
      </c>
      <c r="DS35" s="54" t="s">
        <v>66</v>
      </c>
      <c r="DT35" s="54" t="s">
        <v>66</v>
      </c>
      <c r="DU35" s="54" t="s">
        <v>66</v>
      </c>
      <c r="DV35" s="54" t="s">
        <v>66</v>
      </c>
      <c r="DW35" s="54" t="s">
        <v>159</v>
      </c>
      <c r="DX35" s="54"/>
      <c r="DY35" s="54" t="s">
        <v>159</v>
      </c>
      <c r="DZ35" s="54"/>
      <c r="EA35" s="54"/>
      <c r="EB35" s="54"/>
      <c r="EC35" s="54"/>
      <c r="ED35" s="54"/>
      <c r="EE35" s="54" t="s">
        <v>66</v>
      </c>
      <c r="EF35" s="54" t="s">
        <v>66</v>
      </c>
      <c r="EG35" s="54" t="s">
        <v>66</v>
      </c>
      <c r="EH35" s="54" t="s">
        <v>66</v>
      </c>
      <c r="EI35" s="54" t="s">
        <v>66</v>
      </c>
      <c r="EJ35" s="54" t="s">
        <v>66</v>
      </c>
      <c r="EK35" s="54" t="s">
        <v>66</v>
      </c>
      <c r="EL35" s="54" t="s">
        <v>66</v>
      </c>
      <c r="EM35" s="54" t="s">
        <v>66</v>
      </c>
      <c r="EN35" s="54" t="s">
        <v>66</v>
      </c>
      <c r="EO35" s="54" t="s">
        <v>66</v>
      </c>
      <c r="EP35" s="54" t="s">
        <v>159</v>
      </c>
      <c r="EQ35" s="54" t="s">
        <v>66</v>
      </c>
      <c r="ER35" s="54" t="s">
        <v>66</v>
      </c>
      <c r="ES35" s="54" t="s">
        <v>66</v>
      </c>
      <c r="ET35" s="54" t="s">
        <v>66</v>
      </c>
      <c r="EU35" s="54" t="s">
        <v>66</v>
      </c>
      <c r="EV35" s="54" t="s">
        <v>66</v>
      </c>
      <c r="EW35" s="54" t="s">
        <v>66</v>
      </c>
      <c r="EX35" s="54" t="s">
        <v>66</v>
      </c>
      <c r="EY35" s="54" t="s">
        <v>66</v>
      </c>
      <c r="EZ35" s="54" t="s">
        <v>66</v>
      </c>
      <c r="FA35" s="54" t="s">
        <v>66</v>
      </c>
      <c r="FB35" s="54" t="s">
        <v>66</v>
      </c>
      <c r="FC35" s="54" t="s">
        <v>66</v>
      </c>
      <c r="FD35" s="54" t="s">
        <v>66</v>
      </c>
      <c r="FE35" s="54" t="s">
        <v>66</v>
      </c>
      <c r="FF35" s="54" t="s">
        <v>66</v>
      </c>
      <c r="FG35" s="54" t="s">
        <v>66</v>
      </c>
      <c r="FH35" s="54" t="s">
        <v>66</v>
      </c>
      <c r="FI35" s="54" t="s">
        <v>66</v>
      </c>
      <c r="FJ35" s="54" t="s">
        <v>66</v>
      </c>
      <c r="FK35" s="54" t="s">
        <v>66</v>
      </c>
      <c r="FL35" s="54" t="s">
        <v>66</v>
      </c>
      <c r="FM35" s="54" t="s">
        <v>66</v>
      </c>
      <c r="FN35" s="54" t="s">
        <v>66</v>
      </c>
      <c r="FO35" s="54" t="s">
        <v>66</v>
      </c>
      <c r="FP35" s="54" t="s">
        <v>66</v>
      </c>
      <c r="FQ35" s="54" t="s">
        <v>66</v>
      </c>
      <c r="FR35" s="54" t="s">
        <v>66</v>
      </c>
      <c r="FS35" s="54" t="s">
        <v>66</v>
      </c>
      <c r="FT35" s="54" t="s">
        <v>66</v>
      </c>
      <c r="FU35" s="54" t="s">
        <v>66</v>
      </c>
      <c r="FV35" s="54" t="s">
        <v>66</v>
      </c>
      <c r="FW35" s="54" t="s">
        <v>66</v>
      </c>
      <c r="FX35" s="54" t="s">
        <v>66</v>
      </c>
      <c r="FY35" s="54" t="s">
        <v>66</v>
      </c>
      <c r="FZ35" s="54" t="s">
        <v>66</v>
      </c>
      <c r="GA35" s="54" t="s">
        <v>66</v>
      </c>
      <c r="GB35" s="54" t="s">
        <v>66</v>
      </c>
      <c r="GC35" s="54" t="s">
        <v>66</v>
      </c>
      <c r="GD35" s="54" t="s">
        <v>66</v>
      </c>
      <c r="GE35" s="54" t="s">
        <v>66</v>
      </c>
      <c r="GF35" s="54" t="s">
        <v>66</v>
      </c>
      <c r="GG35" s="54" t="s">
        <v>66</v>
      </c>
      <c r="GH35" s="54" t="s">
        <v>66</v>
      </c>
      <c r="GI35" s="54" t="s">
        <v>66</v>
      </c>
      <c r="GJ35" s="54" t="s">
        <v>66</v>
      </c>
      <c r="GK35" s="54" t="s">
        <v>66</v>
      </c>
      <c r="GL35" s="54" t="s">
        <v>66</v>
      </c>
      <c r="GM35" s="54" t="s">
        <v>66</v>
      </c>
      <c r="GN35" s="54" t="s">
        <v>66</v>
      </c>
      <c r="GO35" s="54" t="s">
        <v>66</v>
      </c>
      <c r="GP35" s="54" t="s">
        <v>66</v>
      </c>
      <c r="GQ35" s="54" t="s">
        <v>66</v>
      </c>
      <c r="GR35" s="54" t="s">
        <v>66</v>
      </c>
      <c r="GS35" s="54" t="s">
        <v>66</v>
      </c>
      <c r="GT35" s="54" t="s">
        <v>66</v>
      </c>
      <c r="GU35" s="54" t="s">
        <v>66</v>
      </c>
      <c r="GV35" s="54" t="s">
        <v>66</v>
      </c>
    </row>
    <row r="36">
      <c r="A36" s="59"/>
      <c r="B36" s="58" t="s">
        <v>694</v>
      </c>
      <c r="D36" s="53" t="str">
        <f t="array" ref="D36">IF('Wątki'!B37=$A$1,INDIRECT("Klasa"),IF('Wątki'!B37=$A$2,INDIRECT("Grupa"),IF('Wątki'!B37=$A$3,INDIRECT("Postać"),"Nie")))</f>
        <v>Nie</v>
      </c>
      <c r="E36" s="53"/>
      <c r="F36" s="54" t="s">
        <v>67</v>
      </c>
      <c r="G36" s="54" t="s">
        <v>67</v>
      </c>
      <c r="H36" s="54" t="s">
        <v>67</v>
      </c>
      <c r="I36" s="54"/>
      <c r="J36" s="54" t="s">
        <v>67</v>
      </c>
      <c r="K36" s="54" t="s">
        <v>67</v>
      </c>
      <c r="L36" s="54" t="s">
        <v>67</v>
      </c>
      <c r="M36" s="54" t="s">
        <v>67</v>
      </c>
      <c r="N36" s="54" t="s">
        <v>67</v>
      </c>
      <c r="O36" s="54" t="s">
        <v>67</v>
      </c>
      <c r="P36" s="54" t="s">
        <v>67</v>
      </c>
      <c r="Q36" s="54" t="s">
        <v>67</v>
      </c>
      <c r="R36" s="54" t="s">
        <v>67</v>
      </c>
      <c r="S36" s="54" t="s">
        <v>67</v>
      </c>
      <c r="T36" s="54" t="s">
        <v>67</v>
      </c>
      <c r="U36" s="54" t="s">
        <v>67</v>
      </c>
      <c r="V36" s="54" t="s">
        <v>161</v>
      </c>
      <c r="W36" s="54" t="s">
        <v>67</v>
      </c>
      <c r="X36" s="54" t="s">
        <v>67</v>
      </c>
      <c r="Y36" s="54" t="s">
        <v>67</v>
      </c>
      <c r="Z36" s="54" t="s">
        <v>67</v>
      </c>
      <c r="AA36" s="54"/>
      <c r="AB36" s="54" t="s">
        <v>67</v>
      </c>
      <c r="AC36" s="54" t="s">
        <v>67</v>
      </c>
      <c r="AD36" s="54" t="s">
        <v>67</v>
      </c>
      <c r="AE36" s="54" t="s">
        <v>67</v>
      </c>
      <c r="AF36" s="54" t="s">
        <v>67</v>
      </c>
      <c r="AG36" s="54" t="s">
        <v>67</v>
      </c>
      <c r="AH36" s="54" t="s">
        <v>67</v>
      </c>
      <c r="AI36" s="54" t="s">
        <v>67</v>
      </c>
      <c r="AJ36" s="54" t="s">
        <v>67</v>
      </c>
      <c r="AK36" s="54" t="s">
        <v>67</v>
      </c>
      <c r="AL36" s="54" t="s">
        <v>161</v>
      </c>
      <c r="AM36" s="54" t="s">
        <v>67</v>
      </c>
      <c r="AN36" s="54" t="s">
        <v>67</v>
      </c>
      <c r="AO36" s="54" t="s">
        <v>67</v>
      </c>
      <c r="AP36" s="54" t="s">
        <v>67</v>
      </c>
      <c r="AQ36" s="54" t="s">
        <v>67</v>
      </c>
      <c r="AR36" s="54" t="s">
        <v>67</v>
      </c>
      <c r="AS36" s="54" t="s">
        <v>67</v>
      </c>
      <c r="AT36" s="54" t="s">
        <v>67</v>
      </c>
      <c r="AU36" s="54" t="s">
        <v>67</v>
      </c>
      <c r="AV36" s="54" t="s">
        <v>161</v>
      </c>
      <c r="AW36" s="54" t="s">
        <v>67</v>
      </c>
      <c r="AX36" s="54" t="s">
        <v>161</v>
      </c>
      <c r="AY36" s="54" t="s">
        <v>161</v>
      </c>
      <c r="AZ36" s="54" t="s">
        <v>161</v>
      </c>
      <c r="BA36" s="54" t="s">
        <v>161</v>
      </c>
      <c r="BB36" s="54" t="s">
        <v>161</v>
      </c>
      <c r="BC36" s="54" t="s">
        <v>161</v>
      </c>
      <c r="BD36" s="54" t="s">
        <v>161</v>
      </c>
      <c r="BE36" s="54" t="s">
        <v>161</v>
      </c>
      <c r="BF36" s="54" t="s">
        <v>161</v>
      </c>
      <c r="BG36" s="54" t="s">
        <v>161</v>
      </c>
      <c r="BH36" s="54" t="s">
        <v>161</v>
      </c>
      <c r="BI36" s="54" t="s">
        <v>161</v>
      </c>
      <c r="BJ36" s="54" t="s">
        <v>161</v>
      </c>
      <c r="BK36" s="54" t="s">
        <v>161</v>
      </c>
      <c r="BL36" s="54" t="s">
        <v>161</v>
      </c>
      <c r="BM36" s="54" t="s">
        <v>161</v>
      </c>
      <c r="BN36" s="54" t="s">
        <v>161</v>
      </c>
      <c r="BO36" s="54" t="s">
        <v>161</v>
      </c>
      <c r="BP36" s="54" t="s">
        <v>161</v>
      </c>
      <c r="BQ36" s="54" t="s">
        <v>67</v>
      </c>
      <c r="BR36" s="54" t="s">
        <v>67</v>
      </c>
      <c r="BS36" s="54" t="s">
        <v>67</v>
      </c>
      <c r="BT36" s="54" t="s">
        <v>161</v>
      </c>
      <c r="BU36" s="54" t="s">
        <v>67</v>
      </c>
      <c r="BV36" s="54" t="s">
        <v>67</v>
      </c>
      <c r="BW36" s="54" t="s">
        <v>161</v>
      </c>
      <c r="BX36" s="54" t="s">
        <v>67</v>
      </c>
      <c r="BY36" s="54" t="s">
        <v>67</v>
      </c>
      <c r="BZ36" s="54" t="s">
        <v>67</v>
      </c>
      <c r="CA36" s="54" t="s">
        <v>67</v>
      </c>
      <c r="CB36" s="54" t="s">
        <v>67</v>
      </c>
      <c r="CC36" s="54" t="s">
        <v>67</v>
      </c>
      <c r="CD36" s="54" t="s">
        <v>67</v>
      </c>
      <c r="CE36" s="54" t="s">
        <v>67</v>
      </c>
      <c r="CF36" s="54" t="s">
        <v>161</v>
      </c>
      <c r="CG36" s="54" t="s">
        <v>67</v>
      </c>
      <c r="CH36" s="54" t="s">
        <v>67</v>
      </c>
      <c r="CI36" s="54" t="s">
        <v>67</v>
      </c>
      <c r="CJ36" s="54" t="s">
        <v>67</v>
      </c>
      <c r="CK36" s="54" t="s">
        <v>67</v>
      </c>
      <c r="CL36" s="54" t="s">
        <v>67</v>
      </c>
      <c r="CM36" s="54" t="s">
        <v>161</v>
      </c>
      <c r="CN36" s="54"/>
      <c r="CO36" s="54" t="s">
        <v>67</v>
      </c>
      <c r="CP36" s="54" t="s">
        <v>67</v>
      </c>
      <c r="CQ36" s="54" t="s">
        <v>67</v>
      </c>
      <c r="CR36" s="54" t="s">
        <v>67</v>
      </c>
      <c r="CS36" s="54" t="s">
        <v>161</v>
      </c>
      <c r="CT36" s="54" t="s">
        <v>161</v>
      </c>
      <c r="CU36" s="54" t="s">
        <v>67</v>
      </c>
      <c r="CV36" s="54" t="s">
        <v>161</v>
      </c>
      <c r="CW36" s="54" t="s">
        <v>67</v>
      </c>
      <c r="CX36" s="54" t="s">
        <v>67</v>
      </c>
      <c r="CY36" s="54" t="s">
        <v>67</v>
      </c>
      <c r="CZ36" s="54"/>
      <c r="DA36" s="54" t="s">
        <v>67</v>
      </c>
      <c r="DB36" s="54" t="s">
        <v>67</v>
      </c>
      <c r="DC36" s="54" t="s">
        <v>161</v>
      </c>
      <c r="DD36" s="54" t="s">
        <v>161</v>
      </c>
      <c r="DE36" s="54" t="s">
        <v>161</v>
      </c>
      <c r="DF36" s="54" t="s">
        <v>67</v>
      </c>
      <c r="DG36" s="54" t="s">
        <v>67</v>
      </c>
      <c r="DH36" s="54" t="s">
        <v>67</v>
      </c>
      <c r="DI36" s="54" t="s">
        <v>67</v>
      </c>
      <c r="DJ36" s="54" t="s">
        <v>67</v>
      </c>
      <c r="DK36" s="54" t="s">
        <v>161</v>
      </c>
      <c r="DL36" s="54" t="s">
        <v>161</v>
      </c>
      <c r="DM36" s="54" t="s">
        <v>161</v>
      </c>
      <c r="DN36" s="54" t="s">
        <v>67</v>
      </c>
      <c r="DO36" s="54" t="s">
        <v>67</v>
      </c>
      <c r="DP36" s="54" t="s">
        <v>67</v>
      </c>
      <c r="DQ36" s="54" t="s">
        <v>161</v>
      </c>
      <c r="DR36" s="54" t="s">
        <v>67</v>
      </c>
      <c r="DS36" s="54" t="s">
        <v>67</v>
      </c>
      <c r="DT36" s="54" t="s">
        <v>67</v>
      </c>
      <c r="DU36" s="54" t="s">
        <v>67</v>
      </c>
      <c r="DV36" s="54" t="s">
        <v>67</v>
      </c>
      <c r="DW36" s="54" t="s">
        <v>161</v>
      </c>
      <c r="DX36" s="54"/>
      <c r="DY36" s="54" t="s">
        <v>161</v>
      </c>
      <c r="DZ36" s="54"/>
      <c r="EA36" s="54"/>
      <c r="EB36" s="54"/>
      <c r="EC36" s="54"/>
      <c r="ED36" s="54"/>
      <c r="EE36" s="54" t="s">
        <v>67</v>
      </c>
      <c r="EF36" s="54" t="s">
        <v>67</v>
      </c>
      <c r="EG36" s="54" t="s">
        <v>67</v>
      </c>
      <c r="EH36" s="54" t="s">
        <v>67</v>
      </c>
      <c r="EI36" s="54" t="s">
        <v>67</v>
      </c>
      <c r="EJ36" s="54" t="s">
        <v>67</v>
      </c>
      <c r="EK36" s="54" t="s">
        <v>67</v>
      </c>
      <c r="EL36" s="54" t="s">
        <v>67</v>
      </c>
      <c r="EM36" s="54" t="s">
        <v>67</v>
      </c>
      <c r="EN36" s="54" t="s">
        <v>67</v>
      </c>
      <c r="EO36" s="54" t="s">
        <v>67</v>
      </c>
      <c r="EP36" s="54" t="s">
        <v>161</v>
      </c>
      <c r="EQ36" s="54" t="s">
        <v>67</v>
      </c>
      <c r="ER36" s="54" t="s">
        <v>67</v>
      </c>
      <c r="ES36" s="54" t="s">
        <v>67</v>
      </c>
      <c r="ET36" s="54" t="s">
        <v>67</v>
      </c>
      <c r="EU36" s="54" t="s">
        <v>67</v>
      </c>
      <c r="EV36" s="54" t="s">
        <v>67</v>
      </c>
      <c r="EW36" s="54" t="s">
        <v>67</v>
      </c>
      <c r="EX36" s="54" t="s">
        <v>67</v>
      </c>
      <c r="EY36" s="54" t="s">
        <v>67</v>
      </c>
      <c r="EZ36" s="54" t="s">
        <v>67</v>
      </c>
      <c r="FA36" s="54" t="s">
        <v>67</v>
      </c>
      <c r="FB36" s="54" t="s">
        <v>67</v>
      </c>
      <c r="FC36" s="54" t="s">
        <v>67</v>
      </c>
      <c r="FD36" s="54" t="s">
        <v>67</v>
      </c>
      <c r="FE36" s="54" t="s">
        <v>67</v>
      </c>
      <c r="FF36" s="54" t="s">
        <v>67</v>
      </c>
      <c r="FG36" s="54" t="s">
        <v>67</v>
      </c>
      <c r="FH36" s="54" t="s">
        <v>67</v>
      </c>
      <c r="FI36" s="54" t="s">
        <v>67</v>
      </c>
      <c r="FJ36" s="54" t="s">
        <v>67</v>
      </c>
      <c r="FK36" s="54" t="s">
        <v>67</v>
      </c>
      <c r="FL36" s="54" t="s">
        <v>67</v>
      </c>
      <c r="FM36" s="54" t="s">
        <v>67</v>
      </c>
      <c r="FN36" s="54" t="s">
        <v>67</v>
      </c>
      <c r="FO36" s="54" t="s">
        <v>67</v>
      </c>
      <c r="FP36" s="54" t="s">
        <v>67</v>
      </c>
      <c r="FQ36" s="54" t="s">
        <v>67</v>
      </c>
      <c r="FR36" s="54" t="s">
        <v>67</v>
      </c>
      <c r="FS36" s="54" t="s">
        <v>67</v>
      </c>
      <c r="FT36" s="54" t="s">
        <v>67</v>
      </c>
      <c r="FU36" s="54" t="s">
        <v>67</v>
      </c>
      <c r="FV36" s="54" t="s">
        <v>67</v>
      </c>
      <c r="FW36" s="54" t="s">
        <v>67</v>
      </c>
      <c r="FX36" s="54" t="s">
        <v>67</v>
      </c>
      <c r="FY36" s="54" t="s">
        <v>67</v>
      </c>
      <c r="FZ36" s="54" t="s">
        <v>67</v>
      </c>
      <c r="GA36" s="54" t="s">
        <v>67</v>
      </c>
      <c r="GB36" s="54" t="s">
        <v>67</v>
      </c>
      <c r="GC36" s="54" t="s">
        <v>67</v>
      </c>
      <c r="GD36" s="54" t="s">
        <v>67</v>
      </c>
      <c r="GE36" s="54" t="s">
        <v>67</v>
      </c>
      <c r="GF36" s="54" t="s">
        <v>67</v>
      </c>
      <c r="GG36" s="54" t="s">
        <v>67</v>
      </c>
      <c r="GH36" s="54" t="s">
        <v>67</v>
      </c>
      <c r="GI36" s="54" t="s">
        <v>67</v>
      </c>
      <c r="GJ36" s="54" t="s">
        <v>67</v>
      </c>
      <c r="GK36" s="54" t="s">
        <v>67</v>
      </c>
      <c r="GL36" s="54" t="s">
        <v>67</v>
      </c>
      <c r="GM36" s="54" t="s">
        <v>67</v>
      </c>
      <c r="GN36" s="54" t="s">
        <v>67</v>
      </c>
      <c r="GO36" s="54" t="s">
        <v>67</v>
      </c>
      <c r="GP36" s="54" t="s">
        <v>67</v>
      </c>
      <c r="GQ36" s="54" t="s">
        <v>67</v>
      </c>
      <c r="GR36" s="54" t="s">
        <v>67</v>
      </c>
      <c r="GS36" s="54" t="s">
        <v>67</v>
      </c>
      <c r="GT36" s="54" t="s">
        <v>67</v>
      </c>
      <c r="GU36" s="54" t="s">
        <v>67</v>
      </c>
      <c r="GV36" s="54" t="s">
        <v>67</v>
      </c>
    </row>
    <row r="37">
      <c r="A37" s="59"/>
      <c r="B37" s="58" t="s">
        <v>695</v>
      </c>
      <c r="D37" s="53" t="str">
        <f t="array" ref="D37">IF('Wątki'!B38=$A$1,INDIRECT("Klasa"),IF('Wątki'!B38=$A$2,INDIRECT("Grupa"),IF('Wątki'!B38=$A$3,INDIRECT("Postać"),"Nie")))</f>
        <v>Nie</v>
      </c>
      <c r="E37" s="53"/>
      <c r="F37" s="54" t="s">
        <v>68</v>
      </c>
      <c r="G37" s="54" t="s">
        <v>68</v>
      </c>
      <c r="H37" s="54" t="s">
        <v>68</v>
      </c>
      <c r="I37" s="54"/>
      <c r="J37" s="54" t="s">
        <v>68</v>
      </c>
      <c r="K37" s="54" t="s">
        <v>68</v>
      </c>
      <c r="L37" s="54" t="s">
        <v>68</v>
      </c>
      <c r="M37" s="54" t="s">
        <v>68</v>
      </c>
      <c r="N37" s="54" t="s">
        <v>68</v>
      </c>
      <c r="O37" s="54" t="s">
        <v>68</v>
      </c>
      <c r="P37" s="54" t="s">
        <v>68</v>
      </c>
      <c r="Q37" s="54" t="s">
        <v>68</v>
      </c>
      <c r="R37" s="54" t="s">
        <v>68</v>
      </c>
      <c r="S37" s="54" t="s">
        <v>68</v>
      </c>
      <c r="T37" s="54" t="s">
        <v>68</v>
      </c>
      <c r="U37" s="54" t="s">
        <v>68</v>
      </c>
      <c r="V37" s="54" t="s">
        <v>163</v>
      </c>
      <c r="W37" s="54" t="s">
        <v>68</v>
      </c>
      <c r="X37" s="54" t="s">
        <v>68</v>
      </c>
      <c r="Y37" s="54" t="s">
        <v>68</v>
      </c>
      <c r="Z37" s="54" t="s">
        <v>68</v>
      </c>
      <c r="AA37" s="54"/>
      <c r="AB37" s="54" t="s">
        <v>68</v>
      </c>
      <c r="AC37" s="54" t="s">
        <v>68</v>
      </c>
      <c r="AD37" s="54" t="s">
        <v>68</v>
      </c>
      <c r="AE37" s="54" t="s">
        <v>68</v>
      </c>
      <c r="AF37" s="54" t="s">
        <v>68</v>
      </c>
      <c r="AG37" s="54" t="s">
        <v>68</v>
      </c>
      <c r="AH37" s="54" t="s">
        <v>68</v>
      </c>
      <c r="AI37" s="54" t="s">
        <v>68</v>
      </c>
      <c r="AJ37" s="54" t="s">
        <v>68</v>
      </c>
      <c r="AK37" s="54" t="s">
        <v>68</v>
      </c>
      <c r="AL37" s="54" t="s">
        <v>163</v>
      </c>
      <c r="AM37" s="54" t="s">
        <v>68</v>
      </c>
      <c r="AN37" s="54" t="s">
        <v>68</v>
      </c>
      <c r="AO37" s="54" t="s">
        <v>68</v>
      </c>
      <c r="AP37" s="54" t="s">
        <v>68</v>
      </c>
      <c r="AQ37" s="54" t="s">
        <v>68</v>
      </c>
      <c r="AR37" s="54" t="s">
        <v>68</v>
      </c>
      <c r="AS37" s="54" t="s">
        <v>68</v>
      </c>
      <c r="AT37" s="54" t="s">
        <v>68</v>
      </c>
      <c r="AU37" s="54" t="s">
        <v>68</v>
      </c>
      <c r="AV37" s="54" t="s">
        <v>163</v>
      </c>
      <c r="AW37" s="54" t="s">
        <v>68</v>
      </c>
      <c r="AX37" s="54" t="s">
        <v>163</v>
      </c>
      <c r="AY37" s="54" t="s">
        <v>163</v>
      </c>
      <c r="AZ37" s="54" t="s">
        <v>163</v>
      </c>
      <c r="BA37" s="54" t="s">
        <v>163</v>
      </c>
      <c r="BB37" s="54" t="s">
        <v>163</v>
      </c>
      <c r="BC37" s="54" t="s">
        <v>163</v>
      </c>
      <c r="BD37" s="54" t="s">
        <v>163</v>
      </c>
      <c r="BE37" s="54" t="s">
        <v>163</v>
      </c>
      <c r="BF37" s="54" t="s">
        <v>163</v>
      </c>
      <c r="BG37" s="54" t="s">
        <v>163</v>
      </c>
      <c r="BH37" s="54" t="s">
        <v>163</v>
      </c>
      <c r="BI37" s="54" t="s">
        <v>163</v>
      </c>
      <c r="BJ37" s="54" t="s">
        <v>163</v>
      </c>
      <c r="BK37" s="54" t="s">
        <v>163</v>
      </c>
      <c r="BL37" s="54" t="s">
        <v>163</v>
      </c>
      <c r="BM37" s="54" t="s">
        <v>163</v>
      </c>
      <c r="BN37" s="54" t="s">
        <v>163</v>
      </c>
      <c r="BO37" s="54" t="s">
        <v>163</v>
      </c>
      <c r="BP37" s="54" t="s">
        <v>163</v>
      </c>
      <c r="BQ37" s="54" t="s">
        <v>68</v>
      </c>
      <c r="BR37" s="54" t="s">
        <v>68</v>
      </c>
      <c r="BS37" s="54" t="s">
        <v>68</v>
      </c>
      <c r="BT37" s="54" t="s">
        <v>163</v>
      </c>
      <c r="BU37" s="54" t="s">
        <v>68</v>
      </c>
      <c r="BV37" s="54" t="s">
        <v>68</v>
      </c>
      <c r="BW37" s="54" t="s">
        <v>163</v>
      </c>
      <c r="BX37" s="54" t="s">
        <v>68</v>
      </c>
      <c r="BY37" s="54" t="s">
        <v>68</v>
      </c>
      <c r="BZ37" s="54" t="s">
        <v>68</v>
      </c>
      <c r="CA37" s="54" t="s">
        <v>68</v>
      </c>
      <c r="CB37" s="54" t="s">
        <v>68</v>
      </c>
      <c r="CC37" s="54" t="s">
        <v>68</v>
      </c>
      <c r="CD37" s="54" t="s">
        <v>68</v>
      </c>
      <c r="CE37" s="54" t="s">
        <v>68</v>
      </c>
      <c r="CF37" s="54" t="s">
        <v>163</v>
      </c>
      <c r="CG37" s="54" t="s">
        <v>68</v>
      </c>
      <c r="CH37" s="54" t="s">
        <v>68</v>
      </c>
      <c r="CI37" s="54" t="s">
        <v>68</v>
      </c>
      <c r="CJ37" s="54" t="s">
        <v>68</v>
      </c>
      <c r="CK37" s="54" t="s">
        <v>68</v>
      </c>
      <c r="CL37" s="54" t="s">
        <v>68</v>
      </c>
      <c r="CM37" s="54" t="s">
        <v>163</v>
      </c>
      <c r="CN37" s="54"/>
      <c r="CO37" s="54" t="s">
        <v>68</v>
      </c>
      <c r="CP37" s="54" t="s">
        <v>68</v>
      </c>
      <c r="CQ37" s="54" t="s">
        <v>68</v>
      </c>
      <c r="CR37" s="54" t="s">
        <v>68</v>
      </c>
      <c r="CS37" s="54" t="s">
        <v>163</v>
      </c>
      <c r="CT37" s="54" t="s">
        <v>163</v>
      </c>
      <c r="CU37" s="54" t="s">
        <v>68</v>
      </c>
      <c r="CV37" s="54" t="s">
        <v>163</v>
      </c>
      <c r="CW37" s="54" t="s">
        <v>68</v>
      </c>
      <c r="CX37" s="54" t="s">
        <v>68</v>
      </c>
      <c r="CY37" s="54" t="s">
        <v>68</v>
      </c>
      <c r="CZ37" s="54"/>
      <c r="DA37" s="54" t="s">
        <v>68</v>
      </c>
      <c r="DB37" s="54" t="s">
        <v>68</v>
      </c>
      <c r="DC37" s="54" t="s">
        <v>163</v>
      </c>
      <c r="DD37" s="54" t="s">
        <v>163</v>
      </c>
      <c r="DE37" s="54" t="s">
        <v>163</v>
      </c>
      <c r="DF37" s="54" t="s">
        <v>68</v>
      </c>
      <c r="DG37" s="54" t="s">
        <v>68</v>
      </c>
      <c r="DH37" s="54" t="s">
        <v>68</v>
      </c>
      <c r="DI37" s="54" t="s">
        <v>68</v>
      </c>
      <c r="DJ37" s="54" t="s">
        <v>68</v>
      </c>
      <c r="DK37" s="54" t="s">
        <v>163</v>
      </c>
      <c r="DL37" s="54" t="s">
        <v>163</v>
      </c>
      <c r="DM37" s="54" t="s">
        <v>163</v>
      </c>
      <c r="DN37" s="54" t="s">
        <v>68</v>
      </c>
      <c r="DO37" s="54" t="s">
        <v>68</v>
      </c>
      <c r="DP37" s="54" t="s">
        <v>68</v>
      </c>
      <c r="DQ37" s="54" t="s">
        <v>163</v>
      </c>
      <c r="DR37" s="54" t="s">
        <v>68</v>
      </c>
      <c r="DS37" s="54" t="s">
        <v>68</v>
      </c>
      <c r="DT37" s="54" t="s">
        <v>68</v>
      </c>
      <c r="DU37" s="54" t="s">
        <v>68</v>
      </c>
      <c r="DV37" s="54" t="s">
        <v>68</v>
      </c>
      <c r="DW37" s="54" t="s">
        <v>163</v>
      </c>
      <c r="DX37" s="54"/>
      <c r="DY37" s="54" t="s">
        <v>163</v>
      </c>
      <c r="DZ37" s="54"/>
      <c r="EA37" s="54"/>
      <c r="EB37" s="54"/>
      <c r="EC37" s="54"/>
      <c r="ED37" s="54"/>
      <c r="EE37" s="54" t="s">
        <v>68</v>
      </c>
      <c r="EF37" s="54" t="s">
        <v>68</v>
      </c>
      <c r="EG37" s="54" t="s">
        <v>68</v>
      </c>
      <c r="EH37" s="54" t="s">
        <v>68</v>
      </c>
      <c r="EI37" s="54" t="s">
        <v>68</v>
      </c>
      <c r="EJ37" s="54" t="s">
        <v>68</v>
      </c>
      <c r="EK37" s="54" t="s">
        <v>68</v>
      </c>
      <c r="EL37" s="54" t="s">
        <v>68</v>
      </c>
      <c r="EM37" s="54" t="s">
        <v>68</v>
      </c>
      <c r="EN37" s="54" t="s">
        <v>68</v>
      </c>
      <c r="EO37" s="54" t="s">
        <v>68</v>
      </c>
      <c r="EP37" s="54" t="s">
        <v>163</v>
      </c>
      <c r="EQ37" s="54" t="s">
        <v>68</v>
      </c>
      <c r="ER37" s="54" t="s">
        <v>68</v>
      </c>
      <c r="ES37" s="54" t="s">
        <v>68</v>
      </c>
      <c r="ET37" s="54" t="s">
        <v>68</v>
      </c>
      <c r="EU37" s="54" t="s">
        <v>68</v>
      </c>
      <c r="EV37" s="54" t="s">
        <v>68</v>
      </c>
      <c r="EW37" s="54" t="s">
        <v>68</v>
      </c>
      <c r="EX37" s="54" t="s">
        <v>68</v>
      </c>
      <c r="EY37" s="54" t="s">
        <v>68</v>
      </c>
      <c r="EZ37" s="54" t="s">
        <v>68</v>
      </c>
      <c r="FA37" s="54" t="s">
        <v>68</v>
      </c>
      <c r="FB37" s="54" t="s">
        <v>68</v>
      </c>
      <c r="FC37" s="54" t="s">
        <v>68</v>
      </c>
      <c r="FD37" s="54" t="s">
        <v>68</v>
      </c>
      <c r="FE37" s="54" t="s">
        <v>68</v>
      </c>
      <c r="FF37" s="54" t="s">
        <v>68</v>
      </c>
      <c r="FG37" s="54" t="s">
        <v>68</v>
      </c>
      <c r="FH37" s="54" t="s">
        <v>68</v>
      </c>
      <c r="FI37" s="54" t="s">
        <v>68</v>
      </c>
      <c r="FJ37" s="54" t="s">
        <v>68</v>
      </c>
      <c r="FK37" s="54" t="s">
        <v>68</v>
      </c>
      <c r="FL37" s="54" t="s">
        <v>68</v>
      </c>
      <c r="FM37" s="54" t="s">
        <v>68</v>
      </c>
      <c r="FN37" s="54" t="s">
        <v>68</v>
      </c>
      <c r="FO37" s="54" t="s">
        <v>68</v>
      </c>
      <c r="FP37" s="54" t="s">
        <v>68</v>
      </c>
      <c r="FQ37" s="54" t="s">
        <v>68</v>
      </c>
      <c r="FR37" s="54" t="s">
        <v>68</v>
      </c>
      <c r="FS37" s="54" t="s">
        <v>68</v>
      </c>
      <c r="FT37" s="54" t="s">
        <v>68</v>
      </c>
      <c r="FU37" s="54" t="s">
        <v>68</v>
      </c>
      <c r="FV37" s="54" t="s">
        <v>68</v>
      </c>
      <c r="FW37" s="54" t="s">
        <v>68</v>
      </c>
      <c r="FX37" s="54" t="s">
        <v>68</v>
      </c>
      <c r="FY37" s="54" t="s">
        <v>68</v>
      </c>
      <c r="FZ37" s="54" t="s">
        <v>68</v>
      </c>
      <c r="GA37" s="54" t="s">
        <v>68</v>
      </c>
      <c r="GB37" s="54" t="s">
        <v>68</v>
      </c>
      <c r="GC37" s="54" t="s">
        <v>68</v>
      </c>
      <c r="GD37" s="54" t="s">
        <v>68</v>
      </c>
      <c r="GE37" s="54" t="s">
        <v>68</v>
      </c>
      <c r="GF37" s="54" t="s">
        <v>68</v>
      </c>
      <c r="GG37" s="54" t="s">
        <v>68</v>
      </c>
      <c r="GH37" s="54" t="s">
        <v>68</v>
      </c>
      <c r="GI37" s="54" t="s">
        <v>68</v>
      </c>
      <c r="GJ37" s="54" t="s">
        <v>68</v>
      </c>
      <c r="GK37" s="54" t="s">
        <v>68</v>
      </c>
      <c r="GL37" s="54" t="s">
        <v>68</v>
      </c>
      <c r="GM37" s="54" t="s">
        <v>68</v>
      </c>
      <c r="GN37" s="54" t="s">
        <v>68</v>
      </c>
      <c r="GO37" s="54" t="s">
        <v>68</v>
      </c>
      <c r="GP37" s="54" t="s">
        <v>68</v>
      </c>
      <c r="GQ37" s="54" t="s">
        <v>68</v>
      </c>
      <c r="GR37" s="54" t="s">
        <v>68</v>
      </c>
      <c r="GS37" s="54" t="s">
        <v>68</v>
      </c>
      <c r="GT37" s="54" t="s">
        <v>68</v>
      </c>
      <c r="GU37" s="54" t="s">
        <v>68</v>
      </c>
      <c r="GV37" s="54" t="s">
        <v>68</v>
      </c>
    </row>
    <row r="38">
      <c r="A38" s="59"/>
      <c r="B38" s="58" t="s">
        <v>85</v>
      </c>
      <c r="D38" s="53" t="str">
        <f t="array" ref="D38">IF('Wątki'!B39=$A$1,INDIRECT("Klasa"),IF('Wątki'!B39=$A$2,INDIRECT("Grupa"),IF('Wątki'!B39=$A$3,INDIRECT("Postać"),"Nie")))</f>
        <v>Nie</v>
      </c>
      <c r="E38" s="53"/>
      <c r="F38" s="54" t="s">
        <v>69</v>
      </c>
      <c r="G38" s="54" t="s">
        <v>69</v>
      </c>
      <c r="H38" s="54" t="s">
        <v>69</v>
      </c>
      <c r="I38" s="54"/>
      <c r="J38" s="54" t="s">
        <v>69</v>
      </c>
      <c r="K38" s="54" t="s">
        <v>69</v>
      </c>
      <c r="L38" s="54" t="s">
        <v>69</v>
      </c>
      <c r="M38" s="54" t="s">
        <v>69</v>
      </c>
      <c r="N38" s="54" t="s">
        <v>69</v>
      </c>
      <c r="O38" s="54" t="s">
        <v>69</v>
      </c>
      <c r="P38" s="54" t="s">
        <v>69</v>
      </c>
      <c r="Q38" s="54" t="s">
        <v>69</v>
      </c>
      <c r="R38" s="54" t="s">
        <v>69</v>
      </c>
      <c r="S38" s="54" t="s">
        <v>69</v>
      </c>
      <c r="T38" s="54" t="s">
        <v>69</v>
      </c>
      <c r="U38" s="54" t="s">
        <v>69</v>
      </c>
      <c r="V38" s="54" t="s">
        <v>165</v>
      </c>
      <c r="W38" s="54" t="s">
        <v>69</v>
      </c>
      <c r="X38" s="54" t="s">
        <v>69</v>
      </c>
      <c r="Y38" s="54" t="s">
        <v>69</v>
      </c>
      <c r="Z38" s="54" t="s">
        <v>69</v>
      </c>
      <c r="AA38" s="54"/>
      <c r="AB38" s="54" t="s">
        <v>69</v>
      </c>
      <c r="AC38" s="54" t="s">
        <v>69</v>
      </c>
      <c r="AD38" s="54" t="s">
        <v>69</v>
      </c>
      <c r="AE38" s="54" t="s">
        <v>69</v>
      </c>
      <c r="AF38" s="54" t="s">
        <v>69</v>
      </c>
      <c r="AG38" s="54" t="s">
        <v>69</v>
      </c>
      <c r="AH38" s="54" t="s">
        <v>69</v>
      </c>
      <c r="AI38" s="54" t="s">
        <v>69</v>
      </c>
      <c r="AJ38" s="54" t="s">
        <v>69</v>
      </c>
      <c r="AK38" s="54" t="s">
        <v>69</v>
      </c>
      <c r="AL38" s="54" t="s">
        <v>165</v>
      </c>
      <c r="AM38" s="54" t="s">
        <v>69</v>
      </c>
      <c r="AN38" s="54" t="s">
        <v>69</v>
      </c>
      <c r="AO38" s="54" t="s">
        <v>69</v>
      </c>
      <c r="AP38" s="54" t="s">
        <v>69</v>
      </c>
      <c r="AQ38" s="54" t="s">
        <v>69</v>
      </c>
      <c r="AR38" s="54" t="s">
        <v>69</v>
      </c>
      <c r="AS38" s="54" t="s">
        <v>69</v>
      </c>
      <c r="AT38" s="54" t="s">
        <v>69</v>
      </c>
      <c r="AU38" s="54" t="s">
        <v>69</v>
      </c>
      <c r="AV38" s="54" t="s">
        <v>165</v>
      </c>
      <c r="AW38" s="54" t="s">
        <v>69</v>
      </c>
      <c r="AX38" s="54" t="s">
        <v>165</v>
      </c>
      <c r="AY38" s="54" t="s">
        <v>165</v>
      </c>
      <c r="AZ38" s="54" t="s">
        <v>165</v>
      </c>
      <c r="BA38" s="54" t="s">
        <v>165</v>
      </c>
      <c r="BB38" s="54" t="s">
        <v>165</v>
      </c>
      <c r="BC38" s="54" t="s">
        <v>165</v>
      </c>
      <c r="BD38" s="54" t="s">
        <v>165</v>
      </c>
      <c r="BE38" s="54" t="s">
        <v>165</v>
      </c>
      <c r="BF38" s="54" t="s">
        <v>165</v>
      </c>
      <c r="BG38" s="54" t="s">
        <v>165</v>
      </c>
      <c r="BH38" s="54" t="s">
        <v>165</v>
      </c>
      <c r="BI38" s="54" t="s">
        <v>165</v>
      </c>
      <c r="BJ38" s="54" t="s">
        <v>165</v>
      </c>
      <c r="BK38" s="54" t="s">
        <v>165</v>
      </c>
      <c r="BL38" s="54" t="s">
        <v>165</v>
      </c>
      <c r="BM38" s="54" t="s">
        <v>165</v>
      </c>
      <c r="BN38" s="54" t="s">
        <v>165</v>
      </c>
      <c r="BO38" s="54" t="s">
        <v>165</v>
      </c>
      <c r="BP38" s="54" t="s">
        <v>165</v>
      </c>
      <c r="BQ38" s="54" t="s">
        <v>69</v>
      </c>
      <c r="BR38" s="54" t="s">
        <v>69</v>
      </c>
      <c r="BS38" s="54" t="s">
        <v>69</v>
      </c>
      <c r="BT38" s="54" t="s">
        <v>165</v>
      </c>
      <c r="BU38" s="54" t="s">
        <v>69</v>
      </c>
      <c r="BV38" s="54" t="s">
        <v>69</v>
      </c>
      <c r="BW38" s="54" t="s">
        <v>165</v>
      </c>
      <c r="BX38" s="54" t="s">
        <v>69</v>
      </c>
      <c r="BY38" s="54" t="s">
        <v>69</v>
      </c>
      <c r="BZ38" s="54" t="s">
        <v>69</v>
      </c>
      <c r="CA38" s="54" t="s">
        <v>69</v>
      </c>
      <c r="CB38" s="54" t="s">
        <v>69</v>
      </c>
      <c r="CC38" s="54" t="s">
        <v>69</v>
      </c>
      <c r="CD38" s="54" t="s">
        <v>69</v>
      </c>
      <c r="CE38" s="54" t="s">
        <v>69</v>
      </c>
      <c r="CF38" s="54" t="s">
        <v>165</v>
      </c>
      <c r="CG38" s="54" t="s">
        <v>69</v>
      </c>
      <c r="CH38" s="54" t="s">
        <v>69</v>
      </c>
      <c r="CI38" s="54" t="s">
        <v>69</v>
      </c>
      <c r="CJ38" s="54" t="s">
        <v>69</v>
      </c>
      <c r="CK38" s="54" t="s">
        <v>69</v>
      </c>
      <c r="CL38" s="54" t="s">
        <v>69</v>
      </c>
      <c r="CM38" s="54" t="s">
        <v>165</v>
      </c>
      <c r="CN38" s="54"/>
      <c r="CO38" s="54" t="s">
        <v>69</v>
      </c>
      <c r="CP38" s="54" t="s">
        <v>69</v>
      </c>
      <c r="CQ38" s="54" t="s">
        <v>69</v>
      </c>
      <c r="CR38" s="54" t="s">
        <v>69</v>
      </c>
      <c r="CS38" s="54" t="s">
        <v>165</v>
      </c>
      <c r="CT38" s="54" t="s">
        <v>165</v>
      </c>
      <c r="CU38" s="54" t="s">
        <v>69</v>
      </c>
      <c r="CV38" s="54" t="s">
        <v>165</v>
      </c>
      <c r="CW38" s="54" t="s">
        <v>69</v>
      </c>
      <c r="CX38" s="54" t="s">
        <v>69</v>
      </c>
      <c r="CY38" s="54" t="s">
        <v>69</v>
      </c>
      <c r="CZ38" s="54"/>
      <c r="DA38" s="54" t="s">
        <v>69</v>
      </c>
      <c r="DB38" s="54" t="s">
        <v>69</v>
      </c>
      <c r="DC38" s="54" t="s">
        <v>165</v>
      </c>
      <c r="DD38" s="54" t="s">
        <v>165</v>
      </c>
      <c r="DE38" s="54" t="s">
        <v>165</v>
      </c>
      <c r="DF38" s="54" t="s">
        <v>69</v>
      </c>
      <c r="DG38" s="54" t="s">
        <v>69</v>
      </c>
      <c r="DH38" s="54" t="s">
        <v>69</v>
      </c>
      <c r="DI38" s="54" t="s">
        <v>69</v>
      </c>
      <c r="DJ38" s="54" t="s">
        <v>69</v>
      </c>
      <c r="DK38" s="54" t="s">
        <v>165</v>
      </c>
      <c r="DL38" s="54" t="s">
        <v>165</v>
      </c>
      <c r="DM38" s="54" t="s">
        <v>165</v>
      </c>
      <c r="DN38" s="54" t="s">
        <v>69</v>
      </c>
      <c r="DO38" s="54" t="s">
        <v>69</v>
      </c>
      <c r="DP38" s="54" t="s">
        <v>69</v>
      </c>
      <c r="DQ38" s="54" t="s">
        <v>165</v>
      </c>
      <c r="DR38" s="54" t="s">
        <v>69</v>
      </c>
      <c r="DS38" s="54" t="s">
        <v>69</v>
      </c>
      <c r="DT38" s="54" t="s">
        <v>69</v>
      </c>
      <c r="DU38" s="54" t="s">
        <v>69</v>
      </c>
      <c r="DV38" s="54" t="s">
        <v>69</v>
      </c>
      <c r="DW38" s="54" t="s">
        <v>165</v>
      </c>
      <c r="DX38" s="54"/>
      <c r="DY38" s="54" t="s">
        <v>165</v>
      </c>
      <c r="DZ38" s="54"/>
      <c r="EA38" s="54"/>
      <c r="EB38" s="54"/>
      <c r="EC38" s="54"/>
      <c r="ED38" s="54"/>
      <c r="EE38" s="54" t="s">
        <v>69</v>
      </c>
      <c r="EF38" s="54" t="s">
        <v>69</v>
      </c>
      <c r="EG38" s="54" t="s">
        <v>69</v>
      </c>
      <c r="EH38" s="54" t="s">
        <v>69</v>
      </c>
      <c r="EI38" s="54" t="s">
        <v>69</v>
      </c>
      <c r="EJ38" s="54" t="s">
        <v>69</v>
      </c>
      <c r="EK38" s="54" t="s">
        <v>69</v>
      </c>
      <c r="EL38" s="54" t="s">
        <v>69</v>
      </c>
      <c r="EM38" s="54" t="s">
        <v>69</v>
      </c>
      <c r="EN38" s="54" t="s">
        <v>69</v>
      </c>
      <c r="EO38" s="54" t="s">
        <v>69</v>
      </c>
      <c r="EP38" s="54" t="s">
        <v>165</v>
      </c>
      <c r="EQ38" s="54" t="s">
        <v>69</v>
      </c>
      <c r="ER38" s="54" t="s">
        <v>69</v>
      </c>
      <c r="ES38" s="54" t="s">
        <v>69</v>
      </c>
      <c r="ET38" s="54" t="s">
        <v>69</v>
      </c>
      <c r="EU38" s="54" t="s">
        <v>69</v>
      </c>
      <c r="EV38" s="54" t="s">
        <v>69</v>
      </c>
      <c r="EW38" s="54" t="s">
        <v>69</v>
      </c>
      <c r="EX38" s="54" t="s">
        <v>69</v>
      </c>
      <c r="EY38" s="54" t="s">
        <v>69</v>
      </c>
      <c r="EZ38" s="54" t="s">
        <v>69</v>
      </c>
      <c r="FA38" s="54" t="s">
        <v>69</v>
      </c>
      <c r="FB38" s="54" t="s">
        <v>69</v>
      </c>
      <c r="FC38" s="54" t="s">
        <v>69</v>
      </c>
      <c r="FD38" s="54" t="s">
        <v>69</v>
      </c>
      <c r="FE38" s="54" t="s">
        <v>69</v>
      </c>
      <c r="FF38" s="54" t="s">
        <v>69</v>
      </c>
      <c r="FG38" s="54" t="s">
        <v>69</v>
      </c>
      <c r="FH38" s="54" t="s">
        <v>69</v>
      </c>
      <c r="FI38" s="54" t="s">
        <v>69</v>
      </c>
      <c r="FJ38" s="54" t="s">
        <v>69</v>
      </c>
      <c r="FK38" s="54" t="s">
        <v>69</v>
      </c>
      <c r="FL38" s="54" t="s">
        <v>69</v>
      </c>
      <c r="FM38" s="54" t="s">
        <v>69</v>
      </c>
      <c r="FN38" s="54" t="s">
        <v>69</v>
      </c>
      <c r="FO38" s="54" t="s">
        <v>69</v>
      </c>
      <c r="FP38" s="54" t="s">
        <v>69</v>
      </c>
      <c r="FQ38" s="54" t="s">
        <v>69</v>
      </c>
      <c r="FR38" s="54" t="s">
        <v>69</v>
      </c>
      <c r="FS38" s="54" t="s">
        <v>69</v>
      </c>
      <c r="FT38" s="54" t="s">
        <v>69</v>
      </c>
      <c r="FU38" s="54" t="s">
        <v>69</v>
      </c>
      <c r="FV38" s="54" t="s">
        <v>69</v>
      </c>
      <c r="FW38" s="54" t="s">
        <v>69</v>
      </c>
      <c r="FX38" s="54" t="s">
        <v>69</v>
      </c>
      <c r="FY38" s="54" t="s">
        <v>69</v>
      </c>
      <c r="FZ38" s="54" t="s">
        <v>69</v>
      </c>
      <c r="GA38" s="54" t="s">
        <v>69</v>
      </c>
      <c r="GB38" s="54" t="s">
        <v>69</v>
      </c>
      <c r="GC38" s="54" t="s">
        <v>69</v>
      </c>
      <c r="GD38" s="54" t="s">
        <v>69</v>
      </c>
      <c r="GE38" s="54" t="s">
        <v>69</v>
      </c>
      <c r="GF38" s="54" t="s">
        <v>69</v>
      </c>
      <c r="GG38" s="54" t="s">
        <v>69</v>
      </c>
      <c r="GH38" s="54" t="s">
        <v>69</v>
      </c>
      <c r="GI38" s="54" t="s">
        <v>69</v>
      </c>
      <c r="GJ38" s="54" t="s">
        <v>69</v>
      </c>
      <c r="GK38" s="54" t="s">
        <v>69</v>
      </c>
      <c r="GL38" s="54" t="s">
        <v>69</v>
      </c>
      <c r="GM38" s="54" t="s">
        <v>69</v>
      </c>
      <c r="GN38" s="54" t="s">
        <v>69</v>
      </c>
      <c r="GO38" s="54" t="s">
        <v>69</v>
      </c>
      <c r="GP38" s="54" t="s">
        <v>69</v>
      </c>
      <c r="GQ38" s="54" t="s">
        <v>69</v>
      </c>
      <c r="GR38" s="54" t="s">
        <v>69</v>
      </c>
      <c r="GS38" s="54" t="s">
        <v>69</v>
      </c>
      <c r="GT38" s="54" t="s">
        <v>69</v>
      </c>
      <c r="GU38" s="54" t="s">
        <v>69</v>
      </c>
      <c r="GV38" s="54" t="s">
        <v>69</v>
      </c>
    </row>
    <row r="39">
      <c r="A39" s="59"/>
      <c r="B39" s="58" t="s">
        <v>696</v>
      </c>
      <c r="D39" s="53" t="str">
        <f t="array" ref="D39">IF('Wątki'!B40=$A$1,INDIRECT("Klasa"),IF('Wątki'!B40=$A$2,INDIRECT("Grupa"),IF('Wątki'!B40=$A$3,INDIRECT("Postać"),"Nie")))</f>
        <v>Nie</v>
      </c>
      <c r="E39" s="53"/>
      <c r="F39" s="54" t="s">
        <v>70</v>
      </c>
      <c r="G39" s="54" t="s">
        <v>70</v>
      </c>
      <c r="H39" s="54" t="s">
        <v>70</v>
      </c>
      <c r="I39" s="54"/>
      <c r="J39" s="54" t="s">
        <v>70</v>
      </c>
      <c r="K39" s="54" t="s">
        <v>70</v>
      </c>
      <c r="L39" s="54" t="s">
        <v>70</v>
      </c>
      <c r="M39" s="54" t="s">
        <v>70</v>
      </c>
      <c r="N39" s="54" t="s">
        <v>70</v>
      </c>
      <c r="O39" s="54" t="s">
        <v>70</v>
      </c>
      <c r="P39" s="54" t="s">
        <v>70</v>
      </c>
      <c r="Q39" s="54" t="s">
        <v>70</v>
      </c>
      <c r="R39" s="54" t="s">
        <v>70</v>
      </c>
      <c r="S39" s="54" t="s">
        <v>70</v>
      </c>
      <c r="T39" s="54" t="s">
        <v>70</v>
      </c>
      <c r="U39" s="54" t="s">
        <v>70</v>
      </c>
      <c r="V39" s="54" t="s">
        <v>167</v>
      </c>
      <c r="W39" s="54" t="s">
        <v>70</v>
      </c>
      <c r="X39" s="54" t="s">
        <v>70</v>
      </c>
      <c r="Y39" s="54" t="s">
        <v>70</v>
      </c>
      <c r="Z39" s="54" t="s">
        <v>70</v>
      </c>
      <c r="AA39" s="54"/>
      <c r="AB39" s="54" t="s">
        <v>70</v>
      </c>
      <c r="AC39" s="54" t="s">
        <v>70</v>
      </c>
      <c r="AD39" s="54" t="s">
        <v>70</v>
      </c>
      <c r="AE39" s="54" t="s">
        <v>70</v>
      </c>
      <c r="AF39" s="54" t="s">
        <v>70</v>
      </c>
      <c r="AG39" s="54" t="s">
        <v>70</v>
      </c>
      <c r="AH39" s="54" t="s">
        <v>70</v>
      </c>
      <c r="AI39" s="54" t="s">
        <v>70</v>
      </c>
      <c r="AJ39" s="54" t="s">
        <v>70</v>
      </c>
      <c r="AK39" s="54" t="s">
        <v>70</v>
      </c>
      <c r="AL39" s="54" t="s">
        <v>167</v>
      </c>
      <c r="AM39" s="54" t="s">
        <v>70</v>
      </c>
      <c r="AN39" s="54" t="s">
        <v>70</v>
      </c>
      <c r="AO39" s="54" t="s">
        <v>70</v>
      </c>
      <c r="AP39" s="54" t="s">
        <v>70</v>
      </c>
      <c r="AQ39" s="54" t="s">
        <v>70</v>
      </c>
      <c r="AR39" s="54" t="s">
        <v>70</v>
      </c>
      <c r="AS39" s="54" t="s">
        <v>70</v>
      </c>
      <c r="AT39" s="54" t="s">
        <v>70</v>
      </c>
      <c r="AU39" s="54" t="s">
        <v>70</v>
      </c>
      <c r="AV39" s="54" t="s">
        <v>167</v>
      </c>
      <c r="AW39" s="54" t="s">
        <v>70</v>
      </c>
      <c r="AX39" s="54" t="s">
        <v>167</v>
      </c>
      <c r="AY39" s="54" t="s">
        <v>167</v>
      </c>
      <c r="AZ39" s="54" t="s">
        <v>167</v>
      </c>
      <c r="BA39" s="54" t="s">
        <v>167</v>
      </c>
      <c r="BB39" s="54" t="s">
        <v>167</v>
      </c>
      <c r="BC39" s="54" t="s">
        <v>167</v>
      </c>
      <c r="BD39" s="54" t="s">
        <v>167</v>
      </c>
      <c r="BE39" s="54" t="s">
        <v>167</v>
      </c>
      <c r="BF39" s="54" t="s">
        <v>167</v>
      </c>
      <c r="BG39" s="54" t="s">
        <v>167</v>
      </c>
      <c r="BH39" s="54" t="s">
        <v>167</v>
      </c>
      <c r="BI39" s="54" t="s">
        <v>167</v>
      </c>
      <c r="BJ39" s="54" t="s">
        <v>167</v>
      </c>
      <c r="BK39" s="54" t="s">
        <v>167</v>
      </c>
      <c r="BL39" s="54" t="s">
        <v>167</v>
      </c>
      <c r="BM39" s="54" t="s">
        <v>167</v>
      </c>
      <c r="BN39" s="54" t="s">
        <v>167</v>
      </c>
      <c r="BO39" s="54" t="s">
        <v>167</v>
      </c>
      <c r="BP39" s="54" t="s">
        <v>167</v>
      </c>
      <c r="BQ39" s="54" t="s">
        <v>70</v>
      </c>
      <c r="BR39" s="54" t="s">
        <v>70</v>
      </c>
      <c r="BS39" s="54" t="s">
        <v>70</v>
      </c>
      <c r="BT39" s="54" t="s">
        <v>167</v>
      </c>
      <c r="BU39" s="54" t="s">
        <v>70</v>
      </c>
      <c r="BV39" s="54" t="s">
        <v>70</v>
      </c>
      <c r="BW39" s="54" t="s">
        <v>167</v>
      </c>
      <c r="BX39" s="54" t="s">
        <v>70</v>
      </c>
      <c r="BY39" s="54" t="s">
        <v>70</v>
      </c>
      <c r="BZ39" s="54" t="s">
        <v>70</v>
      </c>
      <c r="CA39" s="54" t="s">
        <v>70</v>
      </c>
      <c r="CB39" s="54" t="s">
        <v>70</v>
      </c>
      <c r="CC39" s="54" t="s">
        <v>70</v>
      </c>
      <c r="CD39" s="54" t="s">
        <v>70</v>
      </c>
      <c r="CE39" s="54" t="s">
        <v>70</v>
      </c>
      <c r="CF39" s="54" t="s">
        <v>167</v>
      </c>
      <c r="CG39" s="54" t="s">
        <v>70</v>
      </c>
      <c r="CH39" s="54" t="s">
        <v>70</v>
      </c>
      <c r="CI39" s="54" t="s">
        <v>70</v>
      </c>
      <c r="CJ39" s="54" t="s">
        <v>70</v>
      </c>
      <c r="CK39" s="54" t="s">
        <v>70</v>
      </c>
      <c r="CL39" s="54" t="s">
        <v>70</v>
      </c>
      <c r="CM39" s="54" t="s">
        <v>167</v>
      </c>
      <c r="CN39" s="54"/>
      <c r="CO39" s="54" t="s">
        <v>70</v>
      </c>
      <c r="CP39" s="54" t="s">
        <v>70</v>
      </c>
      <c r="CQ39" s="54" t="s">
        <v>70</v>
      </c>
      <c r="CR39" s="54" t="s">
        <v>70</v>
      </c>
      <c r="CS39" s="54" t="s">
        <v>167</v>
      </c>
      <c r="CT39" s="54" t="s">
        <v>167</v>
      </c>
      <c r="CU39" s="54" t="s">
        <v>70</v>
      </c>
      <c r="CV39" s="54" t="s">
        <v>167</v>
      </c>
      <c r="CW39" s="54" t="s">
        <v>70</v>
      </c>
      <c r="CX39" s="54" t="s">
        <v>70</v>
      </c>
      <c r="CY39" s="54" t="s">
        <v>70</v>
      </c>
      <c r="CZ39" s="54"/>
      <c r="DA39" s="54" t="s">
        <v>70</v>
      </c>
      <c r="DB39" s="54" t="s">
        <v>70</v>
      </c>
      <c r="DC39" s="54" t="s">
        <v>167</v>
      </c>
      <c r="DD39" s="54" t="s">
        <v>167</v>
      </c>
      <c r="DE39" s="54" t="s">
        <v>167</v>
      </c>
      <c r="DF39" s="54" t="s">
        <v>70</v>
      </c>
      <c r="DG39" s="54" t="s">
        <v>70</v>
      </c>
      <c r="DH39" s="54" t="s">
        <v>70</v>
      </c>
      <c r="DI39" s="54" t="s">
        <v>70</v>
      </c>
      <c r="DJ39" s="54" t="s">
        <v>70</v>
      </c>
      <c r="DK39" s="54" t="s">
        <v>167</v>
      </c>
      <c r="DL39" s="54" t="s">
        <v>167</v>
      </c>
      <c r="DM39" s="54" t="s">
        <v>167</v>
      </c>
      <c r="DN39" s="54" t="s">
        <v>70</v>
      </c>
      <c r="DO39" s="54" t="s">
        <v>70</v>
      </c>
      <c r="DP39" s="54" t="s">
        <v>70</v>
      </c>
      <c r="DQ39" s="54" t="s">
        <v>167</v>
      </c>
      <c r="DR39" s="54" t="s">
        <v>70</v>
      </c>
      <c r="DS39" s="54" t="s">
        <v>70</v>
      </c>
      <c r="DT39" s="54" t="s">
        <v>70</v>
      </c>
      <c r="DU39" s="54" t="s">
        <v>70</v>
      </c>
      <c r="DV39" s="54" t="s">
        <v>70</v>
      </c>
      <c r="DW39" s="54" t="s">
        <v>167</v>
      </c>
      <c r="DX39" s="54"/>
      <c r="DY39" s="54" t="s">
        <v>167</v>
      </c>
      <c r="DZ39" s="54"/>
      <c r="EA39" s="54"/>
      <c r="EB39" s="54"/>
      <c r="EC39" s="54"/>
      <c r="ED39" s="54"/>
      <c r="EE39" s="54" t="s">
        <v>70</v>
      </c>
      <c r="EF39" s="54" t="s">
        <v>70</v>
      </c>
      <c r="EG39" s="54" t="s">
        <v>70</v>
      </c>
      <c r="EH39" s="54" t="s">
        <v>70</v>
      </c>
      <c r="EI39" s="54" t="s">
        <v>70</v>
      </c>
      <c r="EJ39" s="54" t="s">
        <v>70</v>
      </c>
      <c r="EK39" s="54" t="s">
        <v>70</v>
      </c>
      <c r="EL39" s="54" t="s">
        <v>70</v>
      </c>
      <c r="EM39" s="54" t="s">
        <v>70</v>
      </c>
      <c r="EN39" s="54" t="s">
        <v>70</v>
      </c>
      <c r="EO39" s="54" t="s">
        <v>70</v>
      </c>
      <c r="EP39" s="54" t="s">
        <v>167</v>
      </c>
      <c r="EQ39" s="54" t="s">
        <v>70</v>
      </c>
      <c r="ER39" s="54" t="s">
        <v>70</v>
      </c>
      <c r="ES39" s="54" t="s">
        <v>70</v>
      </c>
      <c r="ET39" s="54" t="s">
        <v>70</v>
      </c>
      <c r="EU39" s="54" t="s">
        <v>70</v>
      </c>
      <c r="EV39" s="54" t="s">
        <v>70</v>
      </c>
      <c r="EW39" s="54" t="s">
        <v>70</v>
      </c>
      <c r="EX39" s="54" t="s">
        <v>70</v>
      </c>
      <c r="EY39" s="54" t="s">
        <v>70</v>
      </c>
      <c r="EZ39" s="54" t="s">
        <v>70</v>
      </c>
      <c r="FA39" s="54" t="s">
        <v>70</v>
      </c>
      <c r="FB39" s="54" t="s">
        <v>70</v>
      </c>
      <c r="FC39" s="54" t="s">
        <v>70</v>
      </c>
      <c r="FD39" s="54" t="s">
        <v>70</v>
      </c>
      <c r="FE39" s="54" t="s">
        <v>70</v>
      </c>
      <c r="FF39" s="54" t="s">
        <v>70</v>
      </c>
      <c r="FG39" s="54" t="s">
        <v>70</v>
      </c>
      <c r="FH39" s="54" t="s">
        <v>70</v>
      </c>
      <c r="FI39" s="54" t="s">
        <v>70</v>
      </c>
      <c r="FJ39" s="54" t="s">
        <v>70</v>
      </c>
      <c r="FK39" s="54" t="s">
        <v>70</v>
      </c>
      <c r="FL39" s="54" t="s">
        <v>70</v>
      </c>
      <c r="FM39" s="54" t="s">
        <v>70</v>
      </c>
      <c r="FN39" s="54" t="s">
        <v>70</v>
      </c>
      <c r="FO39" s="54" t="s">
        <v>70</v>
      </c>
      <c r="FP39" s="54" t="s">
        <v>70</v>
      </c>
      <c r="FQ39" s="54" t="s">
        <v>70</v>
      </c>
      <c r="FR39" s="54" t="s">
        <v>70</v>
      </c>
      <c r="FS39" s="54" t="s">
        <v>70</v>
      </c>
      <c r="FT39" s="54" t="s">
        <v>70</v>
      </c>
      <c r="FU39" s="54" t="s">
        <v>70</v>
      </c>
      <c r="FV39" s="54" t="s">
        <v>70</v>
      </c>
      <c r="FW39" s="54" t="s">
        <v>70</v>
      </c>
      <c r="FX39" s="54" t="s">
        <v>70</v>
      </c>
      <c r="FY39" s="54" t="s">
        <v>70</v>
      </c>
      <c r="FZ39" s="54" t="s">
        <v>70</v>
      </c>
      <c r="GA39" s="54" t="s">
        <v>70</v>
      </c>
      <c r="GB39" s="54" t="s">
        <v>70</v>
      </c>
      <c r="GC39" s="54" t="s">
        <v>70</v>
      </c>
      <c r="GD39" s="54" t="s">
        <v>70</v>
      </c>
      <c r="GE39" s="54" t="s">
        <v>70</v>
      </c>
      <c r="GF39" s="54" t="s">
        <v>70</v>
      </c>
      <c r="GG39" s="54" t="s">
        <v>70</v>
      </c>
      <c r="GH39" s="54" t="s">
        <v>70</v>
      </c>
      <c r="GI39" s="54" t="s">
        <v>70</v>
      </c>
      <c r="GJ39" s="54" t="s">
        <v>70</v>
      </c>
      <c r="GK39" s="54" t="s">
        <v>70</v>
      </c>
      <c r="GL39" s="54" t="s">
        <v>70</v>
      </c>
      <c r="GM39" s="54" t="s">
        <v>70</v>
      </c>
      <c r="GN39" s="54" t="s">
        <v>70</v>
      </c>
      <c r="GO39" s="54" t="s">
        <v>70</v>
      </c>
      <c r="GP39" s="54" t="s">
        <v>70</v>
      </c>
      <c r="GQ39" s="54" t="s">
        <v>70</v>
      </c>
      <c r="GR39" s="54" t="s">
        <v>70</v>
      </c>
      <c r="GS39" s="54" t="s">
        <v>70</v>
      </c>
      <c r="GT39" s="54" t="s">
        <v>70</v>
      </c>
      <c r="GU39" s="54" t="s">
        <v>70</v>
      </c>
      <c r="GV39" s="54" t="s">
        <v>70</v>
      </c>
    </row>
    <row r="40">
      <c r="A40" s="58" t="s">
        <v>22</v>
      </c>
      <c r="B40" s="58" t="s">
        <v>44</v>
      </c>
      <c r="D40" s="53" t="str">
        <f t="array" ref="D40">IF('Wątki'!B41=$A$1,INDIRECT("Klasa"),IF('Wątki'!B41=$A$2,INDIRECT("Grupa"),IF('Wątki'!B41=$A$3,INDIRECT("Postać"),"Nie")))</f>
        <v>Nie</v>
      </c>
      <c r="E40" s="53"/>
      <c r="F40" s="54" t="s">
        <v>71</v>
      </c>
      <c r="G40" s="54" t="s">
        <v>71</v>
      </c>
      <c r="H40" s="54" t="s">
        <v>71</v>
      </c>
      <c r="I40" s="54"/>
      <c r="J40" s="54" t="s">
        <v>71</v>
      </c>
      <c r="K40" s="54" t="s">
        <v>71</v>
      </c>
      <c r="L40" s="54" t="s">
        <v>71</v>
      </c>
      <c r="M40" s="54" t="s">
        <v>71</v>
      </c>
      <c r="N40" s="54" t="s">
        <v>71</v>
      </c>
      <c r="O40" s="54" t="s">
        <v>71</v>
      </c>
      <c r="P40" s="54" t="s">
        <v>71</v>
      </c>
      <c r="Q40" s="54" t="s">
        <v>71</v>
      </c>
      <c r="R40" s="54" t="s">
        <v>71</v>
      </c>
      <c r="S40" s="54" t="s">
        <v>71</v>
      </c>
      <c r="T40" s="54" t="s">
        <v>71</v>
      </c>
      <c r="U40" s="54" t="s">
        <v>71</v>
      </c>
      <c r="V40" s="54" t="s">
        <v>169</v>
      </c>
      <c r="W40" s="54" t="s">
        <v>71</v>
      </c>
      <c r="X40" s="54" t="s">
        <v>71</v>
      </c>
      <c r="Y40" s="54" t="s">
        <v>71</v>
      </c>
      <c r="Z40" s="54" t="s">
        <v>71</v>
      </c>
      <c r="AA40" s="54"/>
      <c r="AB40" s="54" t="s">
        <v>71</v>
      </c>
      <c r="AC40" s="54" t="s">
        <v>71</v>
      </c>
      <c r="AD40" s="54" t="s">
        <v>71</v>
      </c>
      <c r="AE40" s="54" t="s">
        <v>71</v>
      </c>
      <c r="AF40" s="54" t="s">
        <v>71</v>
      </c>
      <c r="AG40" s="54" t="s">
        <v>71</v>
      </c>
      <c r="AH40" s="54" t="s">
        <v>71</v>
      </c>
      <c r="AI40" s="54" t="s">
        <v>71</v>
      </c>
      <c r="AJ40" s="54" t="s">
        <v>71</v>
      </c>
      <c r="AK40" s="54" t="s">
        <v>71</v>
      </c>
      <c r="AL40" s="54" t="s">
        <v>169</v>
      </c>
      <c r="AM40" s="54" t="s">
        <v>71</v>
      </c>
      <c r="AN40" s="54" t="s">
        <v>71</v>
      </c>
      <c r="AO40" s="54" t="s">
        <v>71</v>
      </c>
      <c r="AP40" s="54" t="s">
        <v>71</v>
      </c>
      <c r="AQ40" s="54" t="s">
        <v>71</v>
      </c>
      <c r="AR40" s="54" t="s">
        <v>71</v>
      </c>
      <c r="AS40" s="54" t="s">
        <v>71</v>
      </c>
      <c r="AT40" s="54" t="s">
        <v>71</v>
      </c>
      <c r="AU40" s="54" t="s">
        <v>71</v>
      </c>
      <c r="AV40" s="54" t="s">
        <v>169</v>
      </c>
      <c r="AW40" s="54" t="s">
        <v>71</v>
      </c>
      <c r="AX40" s="54" t="s">
        <v>169</v>
      </c>
      <c r="AY40" s="54" t="s">
        <v>169</v>
      </c>
      <c r="AZ40" s="54" t="s">
        <v>169</v>
      </c>
      <c r="BA40" s="54" t="s">
        <v>169</v>
      </c>
      <c r="BB40" s="54" t="s">
        <v>169</v>
      </c>
      <c r="BC40" s="54" t="s">
        <v>169</v>
      </c>
      <c r="BD40" s="54" t="s">
        <v>169</v>
      </c>
      <c r="BE40" s="54" t="s">
        <v>169</v>
      </c>
      <c r="BF40" s="54" t="s">
        <v>169</v>
      </c>
      <c r="BG40" s="54" t="s">
        <v>169</v>
      </c>
      <c r="BH40" s="54" t="s">
        <v>169</v>
      </c>
      <c r="BI40" s="54" t="s">
        <v>169</v>
      </c>
      <c r="BJ40" s="54" t="s">
        <v>169</v>
      </c>
      <c r="BK40" s="54" t="s">
        <v>169</v>
      </c>
      <c r="BL40" s="54" t="s">
        <v>169</v>
      </c>
      <c r="BM40" s="54" t="s">
        <v>169</v>
      </c>
      <c r="BN40" s="54" t="s">
        <v>169</v>
      </c>
      <c r="BO40" s="54" t="s">
        <v>169</v>
      </c>
      <c r="BP40" s="54" t="s">
        <v>169</v>
      </c>
      <c r="BQ40" s="54" t="s">
        <v>71</v>
      </c>
      <c r="BR40" s="54" t="s">
        <v>71</v>
      </c>
      <c r="BS40" s="54" t="s">
        <v>71</v>
      </c>
      <c r="BT40" s="54" t="s">
        <v>169</v>
      </c>
      <c r="BU40" s="54" t="s">
        <v>71</v>
      </c>
      <c r="BV40" s="54" t="s">
        <v>71</v>
      </c>
      <c r="BW40" s="54" t="s">
        <v>169</v>
      </c>
      <c r="BX40" s="54" t="s">
        <v>71</v>
      </c>
      <c r="BY40" s="54" t="s">
        <v>71</v>
      </c>
      <c r="BZ40" s="54" t="s">
        <v>71</v>
      </c>
      <c r="CA40" s="54" t="s">
        <v>71</v>
      </c>
      <c r="CB40" s="54" t="s">
        <v>71</v>
      </c>
      <c r="CC40" s="54" t="s">
        <v>71</v>
      </c>
      <c r="CD40" s="54" t="s">
        <v>71</v>
      </c>
      <c r="CE40" s="54" t="s">
        <v>71</v>
      </c>
      <c r="CF40" s="54" t="s">
        <v>169</v>
      </c>
      <c r="CG40" s="54" t="s">
        <v>71</v>
      </c>
      <c r="CH40" s="54" t="s">
        <v>71</v>
      </c>
      <c r="CI40" s="54" t="s">
        <v>71</v>
      </c>
      <c r="CJ40" s="54" t="s">
        <v>71</v>
      </c>
      <c r="CK40" s="54" t="s">
        <v>71</v>
      </c>
      <c r="CL40" s="54" t="s">
        <v>71</v>
      </c>
      <c r="CM40" s="54" t="s">
        <v>169</v>
      </c>
      <c r="CN40" s="54"/>
      <c r="CO40" s="54" t="s">
        <v>71</v>
      </c>
      <c r="CP40" s="54" t="s">
        <v>71</v>
      </c>
      <c r="CQ40" s="54" t="s">
        <v>71</v>
      </c>
      <c r="CR40" s="54" t="s">
        <v>71</v>
      </c>
      <c r="CS40" s="54" t="s">
        <v>169</v>
      </c>
      <c r="CT40" s="54" t="s">
        <v>169</v>
      </c>
      <c r="CU40" s="54" t="s">
        <v>71</v>
      </c>
      <c r="CV40" s="54" t="s">
        <v>169</v>
      </c>
      <c r="CW40" s="54" t="s">
        <v>71</v>
      </c>
      <c r="CX40" s="54" t="s">
        <v>71</v>
      </c>
      <c r="CY40" s="54" t="s">
        <v>71</v>
      </c>
      <c r="CZ40" s="54"/>
      <c r="DA40" s="54" t="s">
        <v>71</v>
      </c>
      <c r="DB40" s="54" t="s">
        <v>71</v>
      </c>
      <c r="DC40" s="54" t="s">
        <v>169</v>
      </c>
      <c r="DD40" s="54" t="s">
        <v>169</v>
      </c>
      <c r="DE40" s="54" t="s">
        <v>169</v>
      </c>
      <c r="DF40" s="54" t="s">
        <v>71</v>
      </c>
      <c r="DG40" s="54" t="s">
        <v>71</v>
      </c>
      <c r="DH40" s="54" t="s">
        <v>71</v>
      </c>
      <c r="DI40" s="54" t="s">
        <v>71</v>
      </c>
      <c r="DJ40" s="54" t="s">
        <v>71</v>
      </c>
      <c r="DK40" s="54" t="s">
        <v>169</v>
      </c>
      <c r="DL40" s="54" t="s">
        <v>169</v>
      </c>
      <c r="DM40" s="54" t="s">
        <v>169</v>
      </c>
      <c r="DN40" s="54" t="s">
        <v>71</v>
      </c>
      <c r="DO40" s="54" t="s">
        <v>71</v>
      </c>
      <c r="DP40" s="54" t="s">
        <v>71</v>
      </c>
      <c r="DQ40" s="54" t="s">
        <v>169</v>
      </c>
      <c r="DR40" s="54" t="s">
        <v>71</v>
      </c>
      <c r="DS40" s="54" t="s">
        <v>71</v>
      </c>
      <c r="DT40" s="54" t="s">
        <v>71</v>
      </c>
      <c r="DU40" s="54" t="s">
        <v>71</v>
      </c>
      <c r="DV40" s="54" t="s">
        <v>71</v>
      </c>
      <c r="DW40" s="54" t="s">
        <v>169</v>
      </c>
      <c r="DX40" s="54"/>
      <c r="DY40" s="54" t="s">
        <v>169</v>
      </c>
      <c r="DZ40" s="54"/>
      <c r="EA40" s="54"/>
      <c r="EB40" s="54"/>
      <c r="EC40" s="54"/>
      <c r="ED40" s="54"/>
      <c r="EE40" s="54" t="s">
        <v>71</v>
      </c>
      <c r="EF40" s="54" t="s">
        <v>71</v>
      </c>
      <c r="EG40" s="54" t="s">
        <v>71</v>
      </c>
      <c r="EH40" s="54" t="s">
        <v>71</v>
      </c>
      <c r="EI40" s="54" t="s">
        <v>71</v>
      </c>
      <c r="EJ40" s="54" t="s">
        <v>71</v>
      </c>
      <c r="EK40" s="54" t="s">
        <v>71</v>
      </c>
      <c r="EL40" s="54" t="s">
        <v>71</v>
      </c>
      <c r="EM40" s="54" t="s">
        <v>71</v>
      </c>
      <c r="EN40" s="54" t="s">
        <v>71</v>
      </c>
      <c r="EO40" s="54" t="s">
        <v>71</v>
      </c>
      <c r="EP40" s="54" t="s">
        <v>169</v>
      </c>
      <c r="EQ40" s="54" t="s">
        <v>71</v>
      </c>
      <c r="ER40" s="54" t="s">
        <v>71</v>
      </c>
      <c r="ES40" s="54" t="s">
        <v>71</v>
      </c>
      <c r="ET40" s="54" t="s">
        <v>71</v>
      </c>
      <c r="EU40" s="54" t="s">
        <v>71</v>
      </c>
      <c r="EV40" s="54" t="s">
        <v>71</v>
      </c>
      <c r="EW40" s="54" t="s">
        <v>71</v>
      </c>
      <c r="EX40" s="54" t="s">
        <v>71</v>
      </c>
      <c r="EY40" s="54" t="s">
        <v>71</v>
      </c>
      <c r="EZ40" s="54" t="s">
        <v>71</v>
      </c>
      <c r="FA40" s="54" t="s">
        <v>71</v>
      </c>
      <c r="FB40" s="54" t="s">
        <v>71</v>
      </c>
      <c r="FC40" s="54" t="s">
        <v>71</v>
      </c>
      <c r="FD40" s="54" t="s">
        <v>71</v>
      </c>
      <c r="FE40" s="54" t="s">
        <v>71</v>
      </c>
      <c r="FF40" s="54" t="s">
        <v>71</v>
      </c>
      <c r="FG40" s="54" t="s">
        <v>71</v>
      </c>
      <c r="FH40" s="54" t="s">
        <v>71</v>
      </c>
      <c r="FI40" s="54" t="s">
        <v>71</v>
      </c>
      <c r="FJ40" s="54" t="s">
        <v>71</v>
      </c>
      <c r="FK40" s="54" t="s">
        <v>71</v>
      </c>
      <c r="FL40" s="54" t="s">
        <v>71</v>
      </c>
      <c r="FM40" s="54" t="s">
        <v>71</v>
      </c>
      <c r="FN40" s="54" t="s">
        <v>71</v>
      </c>
      <c r="FO40" s="54" t="s">
        <v>71</v>
      </c>
      <c r="FP40" s="54" t="s">
        <v>71</v>
      </c>
      <c r="FQ40" s="54" t="s">
        <v>71</v>
      </c>
      <c r="FR40" s="54" t="s">
        <v>71</v>
      </c>
      <c r="FS40" s="54" t="s">
        <v>71</v>
      </c>
      <c r="FT40" s="54" t="s">
        <v>71</v>
      </c>
      <c r="FU40" s="54" t="s">
        <v>71</v>
      </c>
      <c r="FV40" s="54" t="s">
        <v>71</v>
      </c>
      <c r="FW40" s="54" t="s">
        <v>71</v>
      </c>
      <c r="FX40" s="54" t="s">
        <v>71</v>
      </c>
      <c r="FY40" s="54" t="s">
        <v>71</v>
      </c>
      <c r="FZ40" s="54" t="s">
        <v>71</v>
      </c>
      <c r="GA40" s="54" t="s">
        <v>71</v>
      </c>
      <c r="GB40" s="54" t="s">
        <v>71</v>
      </c>
      <c r="GC40" s="54" t="s">
        <v>71</v>
      </c>
      <c r="GD40" s="54" t="s">
        <v>71</v>
      </c>
      <c r="GE40" s="54" t="s">
        <v>71</v>
      </c>
      <c r="GF40" s="54" t="s">
        <v>71</v>
      </c>
      <c r="GG40" s="54" t="s">
        <v>71</v>
      </c>
      <c r="GH40" s="54" t="s">
        <v>71</v>
      </c>
      <c r="GI40" s="54" t="s">
        <v>71</v>
      </c>
      <c r="GJ40" s="54" t="s">
        <v>71</v>
      </c>
      <c r="GK40" s="54" t="s">
        <v>71</v>
      </c>
      <c r="GL40" s="54" t="s">
        <v>71</v>
      </c>
      <c r="GM40" s="54" t="s">
        <v>71</v>
      </c>
      <c r="GN40" s="54" t="s">
        <v>71</v>
      </c>
      <c r="GO40" s="54" t="s">
        <v>71</v>
      </c>
      <c r="GP40" s="54" t="s">
        <v>71</v>
      </c>
      <c r="GQ40" s="54" t="s">
        <v>71</v>
      </c>
      <c r="GR40" s="54" t="s">
        <v>71</v>
      </c>
      <c r="GS40" s="54" t="s">
        <v>71</v>
      </c>
      <c r="GT40" s="54" t="s">
        <v>71</v>
      </c>
      <c r="GU40" s="54" t="s">
        <v>71</v>
      </c>
      <c r="GV40" s="54" t="s">
        <v>71</v>
      </c>
    </row>
    <row r="41">
      <c r="A41" s="59"/>
      <c r="B41" s="58" t="s">
        <v>47</v>
      </c>
      <c r="D41" s="53" t="str">
        <f t="array" ref="D41">IF('Wątki'!B42=$A$1,INDIRECT("Klasa"),IF('Wątki'!B42=$A$2,INDIRECT("Grupa"),IF('Wątki'!B42=$A$3,INDIRECT("Postać"),"Nie")))</f>
        <v>Nie</v>
      </c>
      <c r="E41" s="53"/>
      <c r="F41" s="54" t="s">
        <v>72</v>
      </c>
      <c r="G41" s="54" t="s">
        <v>72</v>
      </c>
      <c r="H41" s="54" t="s">
        <v>72</v>
      </c>
      <c r="I41" s="54"/>
      <c r="J41" s="54" t="s">
        <v>72</v>
      </c>
      <c r="K41" s="54" t="s">
        <v>72</v>
      </c>
      <c r="L41" s="54" t="s">
        <v>72</v>
      </c>
      <c r="M41" s="54" t="s">
        <v>72</v>
      </c>
      <c r="N41" s="54" t="s">
        <v>72</v>
      </c>
      <c r="O41" s="54" t="s">
        <v>72</v>
      </c>
      <c r="P41" s="54" t="s">
        <v>72</v>
      </c>
      <c r="Q41" s="54" t="s">
        <v>72</v>
      </c>
      <c r="R41" s="54" t="s">
        <v>72</v>
      </c>
      <c r="S41" s="54" t="s">
        <v>72</v>
      </c>
      <c r="T41" s="54" t="s">
        <v>72</v>
      </c>
      <c r="U41" s="54" t="s">
        <v>72</v>
      </c>
      <c r="V41" s="54" t="s">
        <v>171</v>
      </c>
      <c r="W41" s="54" t="s">
        <v>72</v>
      </c>
      <c r="X41" s="54" t="s">
        <v>72</v>
      </c>
      <c r="Y41" s="54" t="s">
        <v>72</v>
      </c>
      <c r="Z41" s="54" t="s">
        <v>72</v>
      </c>
      <c r="AA41" s="54"/>
      <c r="AB41" s="54" t="s">
        <v>72</v>
      </c>
      <c r="AC41" s="54" t="s">
        <v>72</v>
      </c>
      <c r="AD41" s="54" t="s">
        <v>72</v>
      </c>
      <c r="AE41" s="54" t="s">
        <v>72</v>
      </c>
      <c r="AF41" s="54" t="s">
        <v>72</v>
      </c>
      <c r="AG41" s="54" t="s">
        <v>72</v>
      </c>
      <c r="AH41" s="54" t="s">
        <v>72</v>
      </c>
      <c r="AI41" s="54" t="s">
        <v>72</v>
      </c>
      <c r="AJ41" s="54" t="s">
        <v>72</v>
      </c>
      <c r="AK41" s="54" t="s">
        <v>72</v>
      </c>
      <c r="AL41" s="54" t="s">
        <v>171</v>
      </c>
      <c r="AM41" s="54" t="s">
        <v>72</v>
      </c>
      <c r="AN41" s="54" t="s">
        <v>72</v>
      </c>
      <c r="AO41" s="54" t="s">
        <v>72</v>
      </c>
      <c r="AP41" s="54" t="s">
        <v>72</v>
      </c>
      <c r="AQ41" s="54" t="s">
        <v>72</v>
      </c>
      <c r="AR41" s="54" t="s">
        <v>72</v>
      </c>
      <c r="AS41" s="54" t="s">
        <v>72</v>
      </c>
      <c r="AT41" s="54" t="s">
        <v>72</v>
      </c>
      <c r="AU41" s="54" t="s">
        <v>72</v>
      </c>
      <c r="AV41" s="54" t="s">
        <v>171</v>
      </c>
      <c r="AW41" s="54" t="s">
        <v>72</v>
      </c>
      <c r="AX41" s="54" t="s">
        <v>171</v>
      </c>
      <c r="AY41" s="54" t="s">
        <v>171</v>
      </c>
      <c r="AZ41" s="54" t="s">
        <v>171</v>
      </c>
      <c r="BA41" s="54" t="s">
        <v>171</v>
      </c>
      <c r="BB41" s="54" t="s">
        <v>171</v>
      </c>
      <c r="BC41" s="54" t="s">
        <v>171</v>
      </c>
      <c r="BD41" s="54" t="s">
        <v>171</v>
      </c>
      <c r="BE41" s="54" t="s">
        <v>171</v>
      </c>
      <c r="BF41" s="54" t="s">
        <v>171</v>
      </c>
      <c r="BG41" s="54" t="s">
        <v>171</v>
      </c>
      <c r="BH41" s="54" t="s">
        <v>171</v>
      </c>
      <c r="BI41" s="54" t="s">
        <v>171</v>
      </c>
      <c r="BJ41" s="54" t="s">
        <v>171</v>
      </c>
      <c r="BK41" s="54" t="s">
        <v>171</v>
      </c>
      <c r="BL41" s="54" t="s">
        <v>171</v>
      </c>
      <c r="BM41" s="54" t="s">
        <v>171</v>
      </c>
      <c r="BN41" s="54" t="s">
        <v>171</v>
      </c>
      <c r="BO41" s="54" t="s">
        <v>171</v>
      </c>
      <c r="BP41" s="54" t="s">
        <v>171</v>
      </c>
      <c r="BQ41" s="54" t="s">
        <v>72</v>
      </c>
      <c r="BR41" s="54" t="s">
        <v>72</v>
      </c>
      <c r="BS41" s="54" t="s">
        <v>72</v>
      </c>
      <c r="BT41" s="54" t="s">
        <v>171</v>
      </c>
      <c r="BU41" s="54" t="s">
        <v>72</v>
      </c>
      <c r="BV41" s="54" t="s">
        <v>72</v>
      </c>
      <c r="BW41" s="54" t="s">
        <v>171</v>
      </c>
      <c r="BX41" s="54" t="s">
        <v>72</v>
      </c>
      <c r="BY41" s="54" t="s">
        <v>72</v>
      </c>
      <c r="BZ41" s="54" t="s">
        <v>72</v>
      </c>
      <c r="CA41" s="54" t="s">
        <v>72</v>
      </c>
      <c r="CB41" s="54" t="s">
        <v>72</v>
      </c>
      <c r="CC41" s="54" t="s">
        <v>72</v>
      </c>
      <c r="CD41" s="54" t="s">
        <v>72</v>
      </c>
      <c r="CE41" s="54" t="s">
        <v>72</v>
      </c>
      <c r="CF41" s="54" t="s">
        <v>171</v>
      </c>
      <c r="CG41" s="54" t="s">
        <v>72</v>
      </c>
      <c r="CH41" s="54" t="s">
        <v>72</v>
      </c>
      <c r="CI41" s="54" t="s">
        <v>72</v>
      </c>
      <c r="CJ41" s="54" t="s">
        <v>72</v>
      </c>
      <c r="CK41" s="54" t="s">
        <v>72</v>
      </c>
      <c r="CL41" s="54" t="s">
        <v>72</v>
      </c>
      <c r="CM41" s="54" t="s">
        <v>171</v>
      </c>
      <c r="CN41" s="54"/>
      <c r="CO41" s="54" t="s">
        <v>72</v>
      </c>
      <c r="CP41" s="54" t="s">
        <v>72</v>
      </c>
      <c r="CQ41" s="54" t="s">
        <v>72</v>
      </c>
      <c r="CR41" s="54" t="s">
        <v>72</v>
      </c>
      <c r="CS41" s="54" t="s">
        <v>171</v>
      </c>
      <c r="CT41" s="54" t="s">
        <v>171</v>
      </c>
      <c r="CU41" s="54" t="s">
        <v>72</v>
      </c>
      <c r="CV41" s="54" t="s">
        <v>171</v>
      </c>
      <c r="CW41" s="54" t="s">
        <v>72</v>
      </c>
      <c r="CX41" s="54" t="s">
        <v>72</v>
      </c>
      <c r="CY41" s="54" t="s">
        <v>72</v>
      </c>
      <c r="CZ41" s="54"/>
      <c r="DA41" s="54" t="s">
        <v>72</v>
      </c>
      <c r="DB41" s="54" t="s">
        <v>72</v>
      </c>
      <c r="DC41" s="54" t="s">
        <v>171</v>
      </c>
      <c r="DD41" s="54" t="s">
        <v>171</v>
      </c>
      <c r="DE41" s="54" t="s">
        <v>171</v>
      </c>
      <c r="DF41" s="54" t="s">
        <v>72</v>
      </c>
      <c r="DG41" s="54" t="s">
        <v>72</v>
      </c>
      <c r="DH41" s="54" t="s">
        <v>72</v>
      </c>
      <c r="DI41" s="54" t="s">
        <v>72</v>
      </c>
      <c r="DJ41" s="54" t="s">
        <v>72</v>
      </c>
      <c r="DK41" s="54" t="s">
        <v>171</v>
      </c>
      <c r="DL41" s="54" t="s">
        <v>171</v>
      </c>
      <c r="DM41" s="54" t="s">
        <v>171</v>
      </c>
      <c r="DN41" s="54" t="s">
        <v>72</v>
      </c>
      <c r="DO41" s="54" t="s">
        <v>72</v>
      </c>
      <c r="DP41" s="54" t="s">
        <v>72</v>
      </c>
      <c r="DQ41" s="54" t="s">
        <v>171</v>
      </c>
      <c r="DR41" s="54" t="s">
        <v>72</v>
      </c>
      <c r="DS41" s="54" t="s">
        <v>72</v>
      </c>
      <c r="DT41" s="54" t="s">
        <v>72</v>
      </c>
      <c r="DU41" s="54" t="s">
        <v>72</v>
      </c>
      <c r="DV41" s="54" t="s">
        <v>72</v>
      </c>
      <c r="DW41" s="54" t="s">
        <v>171</v>
      </c>
      <c r="DX41" s="54"/>
      <c r="DY41" s="54" t="s">
        <v>171</v>
      </c>
      <c r="DZ41" s="54"/>
      <c r="EA41" s="54"/>
      <c r="EB41" s="54"/>
      <c r="EC41" s="54"/>
      <c r="ED41" s="54"/>
      <c r="EE41" s="54" t="s">
        <v>72</v>
      </c>
      <c r="EF41" s="54" t="s">
        <v>72</v>
      </c>
      <c r="EG41" s="54" t="s">
        <v>72</v>
      </c>
      <c r="EH41" s="54" t="s">
        <v>72</v>
      </c>
      <c r="EI41" s="54" t="s">
        <v>72</v>
      </c>
      <c r="EJ41" s="54" t="s">
        <v>72</v>
      </c>
      <c r="EK41" s="54" t="s">
        <v>72</v>
      </c>
      <c r="EL41" s="54" t="s">
        <v>72</v>
      </c>
      <c r="EM41" s="54" t="s">
        <v>72</v>
      </c>
      <c r="EN41" s="54" t="s">
        <v>72</v>
      </c>
      <c r="EO41" s="54" t="s">
        <v>72</v>
      </c>
      <c r="EP41" s="54" t="s">
        <v>171</v>
      </c>
      <c r="EQ41" s="54" t="s">
        <v>72</v>
      </c>
      <c r="ER41" s="54" t="s">
        <v>72</v>
      </c>
      <c r="ES41" s="54" t="s">
        <v>72</v>
      </c>
      <c r="ET41" s="54" t="s">
        <v>72</v>
      </c>
      <c r="EU41" s="54" t="s">
        <v>72</v>
      </c>
      <c r="EV41" s="54" t="s">
        <v>72</v>
      </c>
      <c r="EW41" s="54" t="s">
        <v>72</v>
      </c>
      <c r="EX41" s="54" t="s">
        <v>72</v>
      </c>
      <c r="EY41" s="54" t="s">
        <v>72</v>
      </c>
      <c r="EZ41" s="54" t="s">
        <v>72</v>
      </c>
      <c r="FA41" s="54" t="s">
        <v>72</v>
      </c>
      <c r="FB41" s="54" t="s">
        <v>72</v>
      </c>
      <c r="FC41" s="54" t="s">
        <v>72</v>
      </c>
      <c r="FD41" s="54" t="s">
        <v>72</v>
      </c>
      <c r="FE41" s="54" t="s">
        <v>72</v>
      </c>
      <c r="FF41" s="54" t="s">
        <v>72</v>
      </c>
      <c r="FG41" s="54" t="s">
        <v>72</v>
      </c>
      <c r="FH41" s="54" t="s">
        <v>72</v>
      </c>
      <c r="FI41" s="54" t="s">
        <v>72</v>
      </c>
      <c r="FJ41" s="54" t="s">
        <v>72</v>
      </c>
      <c r="FK41" s="54" t="s">
        <v>72</v>
      </c>
      <c r="FL41" s="54" t="s">
        <v>72</v>
      </c>
      <c r="FM41" s="54" t="s">
        <v>72</v>
      </c>
      <c r="FN41" s="54" t="s">
        <v>72</v>
      </c>
      <c r="FO41" s="54" t="s">
        <v>72</v>
      </c>
      <c r="FP41" s="54" t="s">
        <v>72</v>
      </c>
      <c r="FQ41" s="54" t="s">
        <v>72</v>
      </c>
      <c r="FR41" s="54" t="s">
        <v>72</v>
      </c>
      <c r="FS41" s="54" t="s">
        <v>72</v>
      </c>
      <c r="FT41" s="54" t="s">
        <v>72</v>
      </c>
      <c r="FU41" s="54" t="s">
        <v>72</v>
      </c>
      <c r="FV41" s="54" t="s">
        <v>72</v>
      </c>
      <c r="FW41" s="54" t="s">
        <v>72</v>
      </c>
      <c r="FX41" s="54" t="s">
        <v>72</v>
      </c>
      <c r="FY41" s="54" t="s">
        <v>72</v>
      </c>
      <c r="FZ41" s="54" t="s">
        <v>72</v>
      </c>
      <c r="GA41" s="54" t="s">
        <v>72</v>
      </c>
      <c r="GB41" s="54" t="s">
        <v>72</v>
      </c>
      <c r="GC41" s="54" t="s">
        <v>72</v>
      </c>
      <c r="GD41" s="54" t="s">
        <v>72</v>
      </c>
      <c r="GE41" s="54" t="s">
        <v>72</v>
      </c>
      <c r="GF41" s="54" t="s">
        <v>72</v>
      </c>
      <c r="GG41" s="54" t="s">
        <v>72</v>
      </c>
      <c r="GH41" s="54" t="s">
        <v>72</v>
      </c>
      <c r="GI41" s="54" t="s">
        <v>72</v>
      </c>
      <c r="GJ41" s="54" t="s">
        <v>72</v>
      </c>
      <c r="GK41" s="54" t="s">
        <v>72</v>
      </c>
      <c r="GL41" s="54" t="s">
        <v>72</v>
      </c>
      <c r="GM41" s="54" t="s">
        <v>72</v>
      </c>
      <c r="GN41" s="54" t="s">
        <v>72</v>
      </c>
      <c r="GO41" s="54" t="s">
        <v>72</v>
      </c>
      <c r="GP41" s="54" t="s">
        <v>72</v>
      </c>
      <c r="GQ41" s="54" t="s">
        <v>72</v>
      </c>
      <c r="GR41" s="54" t="s">
        <v>72</v>
      </c>
      <c r="GS41" s="54" t="s">
        <v>72</v>
      </c>
      <c r="GT41" s="54" t="s">
        <v>72</v>
      </c>
      <c r="GU41" s="54" t="s">
        <v>72</v>
      </c>
      <c r="GV41" s="54" t="s">
        <v>72</v>
      </c>
    </row>
    <row r="42">
      <c r="A42" s="59"/>
      <c r="B42" s="58" t="s">
        <v>697</v>
      </c>
      <c r="D42" s="53" t="str">
        <f t="array" ref="D42">IF('Wątki'!B43=$A$1,INDIRECT("Klasa"),IF('Wątki'!B43=$A$2,INDIRECT("Grupa"),IF('Wątki'!B43=$A$3,INDIRECT("Postać"),"Nie")))</f>
        <v>Nie</v>
      </c>
      <c r="E42" s="53"/>
      <c r="F42" s="54" t="s">
        <v>74</v>
      </c>
      <c r="G42" s="54" t="s">
        <v>74</v>
      </c>
      <c r="H42" s="54" t="s">
        <v>74</v>
      </c>
      <c r="I42" s="54"/>
      <c r="J42" s="54" t="s">
        <v>74</v>
      </c>
      <c r="K42" s="54" t="s">
        <v>74</v>
      </c>
      <c r="L42" s="54" t="s">
        <v>74</v>
      </c>
      <c r="M42" s="54" t="s">
        <v>74</v>
      </c>
      <c r="N42" s="54" t="s">
        <v>74</v>
      </c>
      <c r="O42" s="54" t="s">
        <v>74</v>
      </c>
      <c r="P42" s="54" t="s">
        <v>74</v>
      </c>
      <c r="Q42" s="54" t="s">
        <v>74</v>
      </c>
      <c r="R42" s="54" t="s">
        <v>74</v>
      </c>
      <c r="S42" s="54" t="s">
        <v>74</v>
      </c>
      <c r="T42" s="54" t="s">
        <v>74</v>
      </c>
      <c r="U42" s="54" t="s">
        <v>74</v>
      </c>
      <c r="V42" s="54" t="s">
        <v>173</v>
      </c>
      <c r="W42" s="54" t="s">
        <v>74</v>
      </c>
      <c r="X42" s="54" t="s">
        <v>74</v>
      </c>
      <c r="Y42" s="54" t="s">
        <v>74</v>
      </c>
      <c r="Z42" s="54" t="s">
        <v>74</v>
      </c>
      <c r="AA42" s="54"/>
      <c r="AB42" s="54" t="s">
        <v>74</v>
      </c>
      <c r="AC42" s="54" t="s">
        <v>74</v>
      </c>
      <c r="AD42" s="54" t="s">
        <v>74</v>
      </c>
      <c r="AE42" s="54" t="s">
        <v>74</v>
      </c>
      <c r="AF42" s="54" t="s">
        <v>74</v>
      </c>
      <c r="AG42" s="54" t="s">
        <v>74</v>
      </c>
      <c r="AH42" s="54" t="s">
        <v>74</v>
      </c>
      <c r="AI42" s="54" t="s">
        <v>74</v>
      </c>
      <c r="AJ42" s="54" t="s">
        <v>74</v>
      </c>
      <c r="AK42" s="54" t="s">
        <v>74</v>
      </c>
      <c r="AL42" s="54" t="s">
        <v>173</v>
      </c>
      <c r="AM42" s="54" t="s">
        <v>74</v>
      </c>
      <c r="AN42" s="54" t="s">
        <v>74</v>
      </c>
      <c r="AO42" s="54" t="s">
        <v>74</v>
      </c>
      <c r="AP42" s="54" t="s">
        <v>74</v>
      </c>
      <c r="AQ42" s="54" t="s">
        <v>74</v>
      </c>
      <c r="AR42" s="54" t="s">
        <v>74</v>
      </c>
      <c r="AS42" s="54" t="s">
        <v>74</v>
      </c>
      <c r="AT42" s="54" t="s">
        <v>74</v>
      </c>
      <c r="AU42" s="54" t="s">
        <v>74</v>
      </c>
      <c r="AV42" s="54" t="s">
        <v>173</v>
      </c>
      <c r="AW42" s="54" t="s">
        <v>74</v>
      </c>
      <c r="AX42" s="54" t="s">
        <v>173</v>
      </c>
      <c r="AY42" s="54" t="s">
        <v>173</v>
      </c>
      <c r="AZ42" s="54" t="s">
        <v>173</v>
      </c>
      <c r="BA42" s="54" t="s">
        <v>173</v>
      </c>
      <c r="BB42" s="54" t="s">
        <v>173</v>
      </c>
      <c r="BC42" s="54" t="s">
        <v>173</v>
      </c>
      <c r="BD42" s="54" t="s">
        <v>173</v>
      </c>
      <c r="BE42" s="54" t="s">
        <v>173</v>
      </c>
      <c r="BF42" s="54" t="s">
        <v>173</v>
      </c>
      <c r="BG42" s="54" t="s">
        <v>173</v>
      </c>
      <c r="BH42" s="54" t="s">
        <v>173</v>
      </c>
      <c r="BI42" s="54" t="s">
        <v>173</v>
      </c>
      <c r="BJ42" s="54" t="s">
        <v>173</v>
      </c>
      <c r="BK42" s="54" t="s">
        <v>173</v>
      </c>
      <c r="BL42" s="54" t="s">
        <v>173</v>
      </c>
      <c r="BM42" s="54" t="s">
        <v>173</v>
      </c>
      <c r="BN42" s="54" t="s">
        <v>173</v>
      </c>
      <c r="BO42" s="54" t="s">
        <v>173</v>
      </c>
      <c r="BP42" s="54" t="s">
        <v>173</v>
      </c>
      <c r="BQ42" s="54" t="s">
        <v>74</v>
      </c>
      <c r="BR42" s="54" t="s">
        <v>74</v>
      </c>
      <c r="BS42" s="54" t="s">
        <v>74</v>
      </c>
      <c r="BT42" s="54" t="s">
        <v>173</v>
      </c>
      <c r="BU42" s="54" t="s">
        <v>74</v>
      </c>
      <c r="BV42" s="54" t="s">
        <v>74</v>
      </c>
      <c r="BW42" s="54" t="s">
        <v>173</v>
      </c>
      <c r="BX42" s="54" t="s">
        <v>74</v>
      </c>
      <c r="BY42" s="54" t="s">
        <v>74</v>
      </c>
      <c r="BZ42" s="54" t="s">
        <v>74</v>
      </c>
      <c r="CA42" s="54" t="s">
        <v>74</v>
      </c>
      <c r="CB42" s="54" t="s">
        <v>74</v>
      </c>
      <c r="CC42" s="54" t="s">
        <v>74</v>
      </c>
      <c r="CD42" s="54" t="s">
        <v>74</v>
      </c>
      <c r="CE42" s="54" t="s">
        <v>74</v>
      </c>
      <c r="CF42" s="54" t="s">
        <v>173</v>
      </c>
      <c r="CG42" s="54" t="s">
        <v>74</v>
      </c>
      <c r="CH42" s="54" t="s">
        <v>74</v>
      </c>
      <c r="CI42" s="54" t="s">
        <v>74</v>
      </c>
      <c r="CJ42" s="54" t="s">
        <v>74</v>
      </c>
      <c r="CK42" s="54" t="s">
        <v>74</v>
      </c>
      <c r="CL42" s="54" t="s">
        <v>74</v>
      </c>
      <c r="CM42" s="54" t="s">
        <v>173</v>
      </c>
      <c r="CN42" s="54"/>
      <c r="CO42" s="54" t="s">
        <v>74</v>
      </c>
      <c r="CP42" s="54" t="s">
        <v>74</v>
      </c>
      <c r="CQ42" s="54" t="s">
        <v>74</v>
      </c>
      <c r="CR42" s="54" t="s">
        <v>74</v>
      </c>
      <c r="CS42" s="54" t="s">
        <v>173</v>
      </c>
      <c r="CT42" s="54" t="s">
        <v>173</v>
      </c>
      <c r="CU42" s="54" t="s">
        <v>74</v>
      </c>
      <c r="CV42" s="54" t="s">
        <v>173</v>
      </c>
      <c r="CW42" s="54" t="s">
        <v>74</v>
      </c>
      <c r="CX42" s="54" t="s">
        <v>74</v>
      </c>
      <c r="CY42" s="54" t="s">
        <v>74</v>
      </c>
      <c r="CZ42" s="54"/>
      <c r="DA42" s="54" t="s">
        <v>74</v>
      </c>
      <c r="DB42" s="54" t="s">
        <v>74</v>
      </c>
      <c r="DC42" s="54" t="s">
        <v>173</v>
      </c>
      <c r="DD42" s="54" t="s">
        <v>173</v>
      </c>
      <c r="DE42" s="54" t="s">
        <v>173</v>
      </c>
      <c r="DF42" s="54" t="s">
        <v>74</v>
      </c>
      <c r="DG42" s="54" t="s">
        <v>74</v>
      </c>
      <c r="DH42" s="54" t="s">
        <v>74</v>
      </c>
      <c r="DI42" s="54" t="s">
        <v>74</v>
      </c>
      <c r="DJ42" s="54" t="s">
        <v>74</v>
      </c>
      <c r="DK42" s="54" t="s">
        <v>173</v>
      </c>
      <c r="DL42" s="54" t="s">
        <v>173</v>
      </c>
      <c r="DM42" s="54" t="s">
        <v>173</v>
      </c>
      <c r="DN42" s="54" t="s">
        <v>74</v>
      </c>
      <c r="DO42" s="54" t="s">
        <v>74</v>
      </c>
      <c r="DP42" s="54" t="s">
        <v>74</v>
      </c>
      <c r="DQ42" s="54" t="s">
        <v>173</v>
      </c>
      <c r="DR42" s="54" t="s">
        <v>74</v>
      </c>
      <c r="DS42" s="54" t="s">
        <v>74</v>
      </c>
      <c r="DT42" s="54" t="s">
        <v>74</v>
      </c>
      <c r="DU42" s="54" t="s">
        <v>74</v>
      </c>
      <c r="DV42" s="54" t="s">
        <v>74</v>
      </c>
      <c r="DW42" s="54" t="s">
        <v>173</v>
      </c>
      <c r="DX42" s="54"/>
      <c r="DY42" s="54" t="s">
        <v>173</v>
      </c>
      <c r="DZ42" s="54"/>
      <c r="EA42" s="54"/>
      <c r="EB42" s="54"/>
      <c r="EC42" s="54"/>
      <c r="ED42" s="54"/>
      <c r="EE42" s="54" t="s">
        <v>74</v>
      </c>
      <c r="EF42" s="54" t="s">
        <v>74</v>
      </c>
      <c r="EG42" s="54" t="s">
        <v>74</v>
      </c>
      <c r="EH42" s="54" t="s">
        <v>74</v>
      </c>
      <c r="EI42" s="54" t="s">
        <v>74</v>
      </c>
      <c r="EJ42" s="54" t="s">
        <v>74</v>
      </c>
      <c r="EK42" s="54" t="s">
        <v>74</v>
      </c>
      <c r="EL42" s="54" t="s">
        <v>74</v>
      </c>
      <c r="EM42" s="54" t="s">
        <v>74</v>
      </c>
      <c r="EN42" s="54" t="s">
        <v>74</v>
      </c>
      <c r="EO42" s="54" t="s">
        <v>74</v>
      </c>
      <c r="EP42" s="54" t="s">
        <v>173</v>
      </c>
      <c r="EQ42" s="54" t="s">
        <v>74</v>
      </c>
      <c r="ER42" s="54" t="s">
        <v>74</v>
      </c>
      <c r="ES42" s="54" t="s">
        <v>74</v>
      </c>
      <c r="ET42" s="54" t="s">
        <v>74</v>
      </c>
      <c r="EU42" s="54" t="s">
        <v>74</v>
      </c>
      <c r="EV42" s="54" t="s">
        <v>74</v>
      </c>
      <c r="EW42" s="54" t="s">
        <v>74</v>
      </c>
      <c r="EX42" s="54" t="s">
        <v>74</v>
      </c>
      <c r="EY42" s="54" t="s">
        <v>74</v>
      </c>
      <c r="EZ42" s="54" t="s">
        <v>74</v>
      </c>
      <c r="FA42" s="54" t="s">
        <v>74</v>
      </c>
      <c r="FB42" s="54" t="s">
        <v>74</v>
      </c>
      <c r="FC42" s="54" t="s">
        <v>74</v>
      </c>
      <c r="FD42" s="54" t="s">
        <v>74</v>
      </c>
      <c r="FE42" s="54" t="s">
        <v>74</v>
      </c>
      <c r="FF42" s="54" t="s">
        <v>74</v>
      </c>
      <c r="FG42" s="54" t="s">
        <v>74</v>
      </c>
      <c r="FH42" s="54" t="s">
        <v>74</v>
      </c>
      <c r="FI42" s="54" t="s">
        <v>74</v>
      </c>
      <c r="FJ42" s="54" t="s">
        <v>74</v>
      </c>
      <c r="FK42" s="54" t="s">
        <v>74</v>
      </c>
      <c r="FL42" s="54" t="s">
        <v>74</v>
      </c>
      <c r="FM42" s="54" t="s">
        <v>74</v>
      </c>
      <c r="FN42" s="54" t="s">
        <v>74</v>
      </c>
      <c r="FO42" s="54" t="s">
        <v>74</v>
      </c>
      <c r="FP42" s="54" t="s">
        <v>74</v>
      </c>
      <c r="FQ42" s="54" t="s">
        <v>74</v>
      </c>
      <c r="FR42" s="54" t="s">
        <v>74</v>
      </c>
      <c r="FS42" s="54" t="s">
        <v>74</v>
      </c>
      <c r="FT42" s="54" t="s">
        <v>74</v>
      </c>
      <c r="FU42" s="54" t="s">
        <v>74</v>
      </c>
      <c r="FV42" s="54" t="s">
        <v>74</v>
      </c>
      <c r="FW42" s="54" t="s">
        <v>74</v>
      </c>
      <c r="FX42" s="54" t="s">
        <v>74</v>
      </c>
      <c r="FY42" s="54" t="s">
        <v>74</v>
      </c>
      <c r="FZ42" s="54" t="s">
        <v>74</v>
      </c>
      <c r="GA42" s="54" t="s">
        <v>74</v>
      </c>
      <c r="GB42" s="54" t="s">
        <v>74</v>
      </c>
      <c r="GC42" s="54" t="s">
        <v>74</v>
      </c>
      <c r="GD42" s="54" t="s">
        <v>74</v>
      </c>
      <c r="GE42" s="54" t="s">
        <v>74</v>
      </c>
      <c r="GF42" s="54" t="s">
        <v>74</v>
      </c>
      <c r="GG42" s="54" t="s">
        <v>74</v>
      </c>
      <c r="GH42" s="54" t="s">
        <v>74</v>
      </c>
      <c r="GI42" s="54" t="s">
        <v>74</v>
      </c>
      <c r="GJ42" s="54" t="s">
        <v>74</v>
      </c>
      <c r="GK42" s="54" t="s">
        <v>74</v>
      </c>
      <c r="GL42" s="54" t="s">
        <v>74</v>
      </c>
      <c r="GM42" s="54" t="s">
        <v>74</v>
      </c>
      <c r="GN42" s="54" t="s">
        <v>74</v>
      </c>
      <c r="GO42" s="54" t="s">
        <v>74</v>
      </c>
      <c r="GP42" s="54" t="s">
        <v>74</v>
      </c>
      <c r="GQ42" s="54" t="s">
        <v>74</v>
      </c>
      <c r="GR42" s="54" t="s">
        <v>74</v>
      </c>
      <c r="GS42" s="54" t="s">
        <v>74</v>
      </c>
      <c r="GT42" s="54" t="s">
        <v>74</v>
      </c>
      <c r="GU42" s="54" t="s">
        <v>74</v>
      </c>
      <c r="GV42" s="54" t="s">
        <v>74</v>
      </c>
    </row>
    <row r="43">
      <c r="A43" s="59"/>
      <c r="B43" s="58" t="s">
        <v>36</v>
      </c>
      <c r="D43" s="53" t="str">
        <f t="array" ref="D43:E43">IF('Wątki'!B44=$A$1,INDIRECT("Klasa"),IF('Wątki'!B44=$A$2,INDIRECT("Grupa"),IF('Wątki'!B44=$A$3,INDIRECT("Postać"),"Nie")))</f>
        <v>Tak</v>
      </c>
      <c r="E43" s="53" t="s">
        <v>191</v>
      </c>
      <c r="F43" s="54" t="s">
        <v>75</v>
      </c>
      <c r="G43" s="54" t="s">
        <v>75</v>
      </c>
      <c r="H43" s="54" t="s">
        <v>75</v>
      </c>
      <c r="I43" s="54"/>
      <c r="J43" s="54" t="s">
        <v>75</v>
      </c>
      <c r="K43" s="54" t="s">
        <v>75</v>
      </c>
      <c r="L43" s="54" t="s">
        <v>75</v>
      </c>
      <c r="M43" s="54" t="s">
        <v>75</v>
      </c>
      <c r="N43" s="54" t="s">
        <v>75</v>
      </c>
      <c r="O43" s="54" t="s">
        <v>75</v>
      </c>
      <c r="P43" s="54" t="s">
        <v>75</v>
      </c>
      <c r="Q43" s="54" t="s">
        <v>75</v>
      </c>
      <c r="R43" s="54" t="s">
        <v>75</v>
      </c>
      <c r="S43" s="54" t="s">
        <v>75</v>
      </c>
      <c r="T43" s="54" t="s">
        <v>75</v>
      </c>
      <c r="U43" s="54" t="s">
        <v>75</v>
      </c>
      <c r="V43" s="54" t="s">
        <v>174</v>
      </c>
      <c r="W43" s="54" t="s">
        <v>75</v>
      </c>
      <c r="X43" s="54" t="s">
        <v>75</v>
      </c>
      <c r="Y43" s="54" t="s">
        <v>75</v>
      </c>
      <c r="Z43" s="54" t="s">
        <v>75</v>
      </c>
      <c r="AA43" s="54"/>
      <c r="AB43" s="54" t="s">
        <v>75</v>
      </c>
      <c r="AC43" s="54" t="s">
        <v>75</v>
      </c>
      <c r="AD43" s="54" t="s">
        <v>75</v>
      </c>
      <c r="AE43" s="54" t="s">
        <v>75</v>
      </c>
      <c r="AF43" s="54" t="s">
        <v>75</v>
      </c>
      <c r="AG43" s="54" t="s">
        <v>75</v>
      </c>
      <c r="AH43" s="54" t="s">
        <v>75</v>
      </c>
      <c r="AI43" s="54" t="s">
        <v>75</v>
      </c>
      <c r="AJ43" s="54" t="s">
        <v>75</v>
      </c>
      <c r="AK43" s="54" t="s">
        <v>75</v>
      </c>
      <c r="AL43" s="54" t="s">
        <v>174</v>
      </c>
      <c r="AM43" s="54" t="s">
        <v>75</v>
      </c>
      <c r="AN43" s="54" t="s">
        <v>75</v>
      </c>
      <c r="AO43" s="54" t="s">
        <v>75</v>
      </c>
      <c r="AP43" s="54" t="s">
        <v>75</v>
      </c>
      <c r="AQ43" s="54" t="s">
        <v>75</v>
      </c>
      <c r="AR43" s="54" t="s">
        <v>75</v>
      </c>
      <c r="AS43" s="54" t="s">
        <v>75</v>
      </c>
      <c r="AT43" s="54" t="s">
        <v>75</v>
      </c>
      <c r="AU43" s="54" t="s">
        <v>75</v>
      </c>
      <c r="AV43" s="54" t="s">
        <v>174</v>
      </c>
      <c r="AW43" s="54" t="s">
        <v>75</v>
      </c>
      <c r="AX43" s="54" t="s">
        <v>174</v>
      </c>
      <c r="AY43" s="54" t="s">
        <v>174</v>
      </c>
      <c r="AZ43" s="54" t="s">
        <v>174</v>
      </c>
      <c r="BA43" s="54" t="s">
        <v>174</v>
      </c>
      <c r="BB43" s="54" t="s">
        <v>174</v>
      </c>
      <c r="BC43" s="54" t="s">
        <v>174</v>
      </c>
      <c r="BD43" s="54" t="s">
        <v>174</v>
      </c>
      <c r="BE43" s="54" t="s">
        <v>174</v>
      </c>
      <c r="BF43" s="54" t="s">
        <v>174</v>
      </c>
      <c r="BG43" s="54" t="s">
        <v>174</v>
      </c>
      <c r="BH43" s="54" t="s">
        <v>174</v>
      </c>
      <c r="BI43" s="54" t="s">
        <v>174</v>
      </c>
      <c r="BJ43" s="54" t="s">
        <v>174</v>
      </c>
      <c r="BK43" s="54" t="s">
        <v>174</v>
      </c>
      <c r="BL43" s="54" t="s">
        <v>174</v>
      </c>
      <c r="BM43" s="54" t="s">
        <v>174</v>
      </c>
      <c r="BN43" s="54" t="s">
        <v>174</v>
      </c>
      <c r="BO43" s="54" t="s">
        <v>174</v>
      </c>
      <c r="BP43" s="54" t="s">
        <v>174</v>
      </c>
      <c r="BQ43" s="54" t="s">
        <v>75</v>
      </c>
      <c r="BR43" s="54" t="s">
        <v>75</v>
      </c>
      <c r="BS43" s="54" t="s">
        <v>75</v>
      </c>
      <c r="BT43" s="54" t="s">
        <v>174</v>
      </c>
      <c r="BU43" s="54" t="s">
        <v>75</v>
      </c>
      <c r="BV43" s="54" t="s">
        <v>75</v>
      </c>
      <c r="BW43" s="54" t="s">
        <v>174</v>
      </c>
      <c r="BX43" s="54" t="s">
        <v>75</v>
      </c>
      <c r="BY43" s="54" t="s">
        <v>75</v>
      </c>
      <c r="BZ43" s="54" t="s">
        <v>75</v>
      </c>
      <c r="CA43" s="54" t="s">
        <v>75</v>
      </c>
      <c r="CB43" s="54" t="s">
        <v>75</v>
      </c>
      <c r="CC43" s="54" t="s">
        <v>75</v>
      </c>
      <c r="CD43" s="54" t="s">
        <v>75</v>
      </c>
      <c r="CE43" s="54" t="s">
        <v>75</v>
      </c>
      <c r="CF43" s="54" t="s">
        <v>174</v>
      </c>
      <c r="CG43" s="54" t="s">
        <v>75</v>
      </c>
      <c r="CH43" s="54" t="s">
        <v>75</v>
      </c>
      <c r="CI43" s="54" t="s">
        <v>75</v>
      </c>
      <c r="CJ43" s="54" t="s">
        <v>75</v>
      </c>
      <c r="CK43" s="54" t="s">
        <v>75</v>
      </c>
      <c r="CL43" s="54" t="s">
        <v>75</v>
      </c>
      <c r="CM43" s="54" t="s">
        <v>174</v>
      </c>
      <c r="CN43" s="54"/>
      <c r="CO43" s="54" t="s">
        <v>75</v>
      </c>
      <c r="CP43" s="54" t="s">
        <v>75</v>
      </c>
      <c r="CQ43" s="54" t="s">
        <v>75</v>
      </c>
      <c r="CR43" s="54" t="s">
        <v>75</v>
      </c>
      <c r="CS43" s="54" t="s">
        <v>174</v>
      </c>
      <c r="CT43" s="54" t="s">
        <v>174</v>
      </c>
      <c r="CU43" s="54" t="s">
        <v>75</v>
      </c>
      <c r="CV43" s="54" t="s">
        <v>174</v>
      </c>
      <c r="CW43" s="54" t="s">
        <v>75</v>
      </c>
      <c r="CX43" s="54" t="s">
        <v>75</v>
      </c>
      <c r="CY43" s="54" t="s">
        <v>75</v>
      </c>
      <c r="CZ43" s="54"/>
      <c r="DA43" s="54" t="s">
        <v>75</v>
      </c>
      <c r="DB43" s="54" t="s">
        <v>75</v>
      </c>
      <c r="DC43" s="54" t="s">
        <v>174</v>
      </c>
      <c r="DD43" s="54" t="s">
        <v>174</v>
      </c>
      <c r="DE43" s="54" t="s">
        <v>174</v>
      </c>
      <c r="DF43" s="54" t="s">
        <v>75</v>
      </c>
      <c r="DG43" s="54" t="s">
        <v>75</v>
      </c>
      <c r="DH43" s="54" t="s">
        <v>75</v>
      </c>
      <c r="DI43" s="54" t="s">
        <v>75</v>
      </c>
      <c r="DJ43" s="54" t="s">
        <v>75</v>
      </c>
      <c r="DK43" s="54" t="s">
        <v>174</v>
      </c>
      <c r="DL43" s="54" t="s">
        <v>174</v>
      </c>
      <c r="DM43" s="54" t="s">
        <v>174</v>
      </c>
      <c r="DN43" s="54" t="s">
        <v>75</v>
      </c>
      <c r="DO43" s="54" t="s">
        <v>75</v>
      </c>
      <c r="DP43" s="54" t="s">
        <v>75</v>
      </c>
      <c r="DQ43" s="54" t="s">
        <v>174</v>
      </c>
      <c r="DR43" s="54" t="s">
        <v>75</v>
      </c>
      <c r="DS43" s="54" t="s">
        <v>75</v>
      </c>
      <c r="DT43" s="54" t="s">
        <v>75</v>
      </c>
      <c r="DU43" s="54" t="s">
        <v>75</v>
      </c>
      <c r="DV43" s="54" t="s">
        <v>75</v>
      </c>
      <c r="DW43" s="54" t="s">
        <v>174</v>
      </c>
      <c r="DX43" s="54"/>
      <c r="DY43" s="54" t="s">
        <v>174</v>
      </c>
      <c r="DZ43" s="54"/>
      <c r="EA43" s="54"/>
      <c r="EB43" s="54"/>
      <c r="EC43" s="54"/>
      <c r="ED43" s="54"/>
      <c r="EE43" s="54" t="s">
        <v>75</v>
      </c>
      <c r="EF43" s="54" t="s">
        <v>75</v>
      </c>
      <c r="EG43" s="54" t="s">
        <v>75</v>
      </c>
      <c r="EH43" s="54" t="s">
        <v>75</v>
      </c>
      <c r="EI43" s="54" t="s">
        <v>75</v>
      </c>
      <c r="EJ43" s="54" t="s">
        <v>75</v>
      </c>
      <c r="EK43" s="54" t="s">
        <v>75</v>
      </c>
      <c r="EL43" s="54" t="s">
        <v>75</v>
      </c>
      <c r="EM43" s="54" t="s">
        <v>75</v>
      </c>
      <c r="EN43" s="54" t="s">
        <v>75</v>
      </c>
      <c r="EO43" s="54" t="s">
        <v>75</v>
      </c>
      <c r="EP43" s="54" t="s">
        <v>174</v>
      </c>
      <c r="EQ43" s="54" t="s">
        <v>75</v>
      </c>
      <c r="ER43" s="54" t="s">
        <v>75</v>
      </c>
      <c r="ES43" s="54" t="s">
        <v>75</v>
      </c>
      <c r="ET43" s="54" t="s">
        <v>75</v>
      </c>
      <c r="EU43" s="54" t="s">
        <v>75</v>
      </c>
      <c r="EV43" s="54" t="s">
        <v>75</v>
      </c>
      <c r="EW43" s="54" t="s">
        <v>75</v>
      </c>
      <c r="EX43" s="54" t="s">
        <v>75</v>
      </c>
      <c r="EY43" s="54" t="s">
        <v>75</v>
      </c>
      <c r="EZ43" s="54" t="s">
        <v>75</v>
      </c>
      <c r="FA43" s="54" t="s">
        <v>75</v>
      </c>
      <c r="FB43" s="54" t="s">
        <v>75</v>
      </c>
      <c r="FC43" s="54" t="s">
        <v>75</v>
      </c>
      <c r="FD43" s="54" t="s">
        <v>75</v>
      </c>
      <c r="FE43" s="54" t="s">
        <v>75</v>
      </c>
      <c r="FF43" s="54" t="s">
        <v>75</v>
      </c>
      <c r="FG43" s="54" t="s">
        <v>75</v>
      </c>
      <c r="FH43" s="54" t="s">
        <v>75</v>
      </c>
      <c r="FI43" s="54" t="s">
        <v>75</v>
      </c>
      <c r="FJ43" s="54" t="s">
        <v>75</v>
      </c>
      <c r="FK43" s="54" t="s">
        <v>75</v>
      </c>
      <c r="FL43" s="54" t="s">
        <v>75</v>
      </c>
      <c r="FM43" s="54" t="s">
        <v>75</v>
      </c>
      <c r="FN43" s="54" t="s">
        <v>75</v>
      </c>
      <c r="FO43" s="54" t="s">
        <v>75</v>
      </c>
      <c r="FP43" s="54" t="s">
        <v>75</v>
      </c>
      <c r="FQ43" s="54" t="s">
        <v>75</v>
      </c>
      <c r="FR43" s="54" t="s">
        <v>75</v>
      </c>
      <c r="FS43" s="54" t="s">
        <v>75</v>
      </c>
      <c r="FT43" s="54" t="s">
        <v>75</v>
      </c>
      <c r="FU43" s="54" t="s">
        <v>75</v>
      </c>
      <c r="FV43" s="54" t="s">
        <v>75</v>
      </c>
      <c r="FW43" s="54" t="s">
        <v>75</v>
      </c>
      <c r="FX43" s="54" t="s">
        <v>75</v>
      </c>
      <c r="FY43" s="54" t="s">
        <v>75</v>
      </c>
      <c r="FZ43" s="54" t="s">
        <v>75</v>
      </c>
      <c r="GA43" s="54" t="s">
        <v>75</v>
      </c>
      <c r="GB43" s="54" t="s">
        <v>75</v>
      </c>
      <c r="GC43" s="54" t="s">
        <v>75</v>
      </c>
      <c r="GD43" s="54" t="s">
        <v>75</v>
      </c>
      <c r="GE43" s="54" t="s">
        <v>75</v>
      </c>
      <c r="GF43" s="54" t="s">
        <v>75</v>
      </c>
      <c r="GG43" s="54" t="s">
        <v>75</v>
      </c>
      <c r="GH43" s="54" t="s">
        <v>75</v>
      </c>
      <c r="GI43" s="54" t="s">
        <v>75</v>
      </c>
      <c r="GJ43" s="54" t="s">
        <v>75</v>
      </c>
      <c r="GK43" s="54" t="s">
        <v>75</v>
      </c>
      <c r="GL43" s="54" t="s">
        <v>75</v>
      </c>
      <c r="GM43" s="54" t="s">
        <v>75</v>
      </c>
      <c r="GN43" s="54" t="s">
        <v>75</v>
      </c>
      <c r="GO43" s="54" t="s">
        <v>75</v>
      </c>
      <c r="GP43" s="54" t="s">
        <v>75</v>
      </c>
      <c r="GQ43" s="54" t="s">
        <v>75</v>
      </c>
      <c r="GR43" s="54" t="s">
        <v>75</v>
      </c>
      <c r="GS43" s="54" t="s">
        <v>75</v>
      </c>
      <c r="GT43" s="54" t="s">
        <v>75</v>
      </c>
      <c r="GU43" s="54" t="s">
        <v>75</v>
      </c>
      <c r="GV43" s="54" t="s">
        <v>75</v>
      </c>
    </row>
    <row r="44">
      <c r="A44" s="59"/>
      <c r="B44" s="58" t="s">
        <v>23</v>
      </c>
      <c r="D44" s="53" t="str">
        <f t="array" ref="D44">IF('Wątki'!B45=$A$1,INDIRECT("Klasa"),IF('Wątki'!B45=$A$2,INDIRECT("Grupa"),IF('Wątki'!B45=$A$3,INDIRECT("Postać"),"Nie")))</f>
        <v>Nie</v>
      </c>
      <c r="E44" s="53"/>
      <c r="F44" s="54" t="s">
        <v>76</v>
      </c>
      <c r="G44" s="54" t="s">
        <v>76</v>
      </c>
      <c r="H44" s="54" t="s">
        <v>76</v>
      </c>
      <c r="I44" s="54"/>
      <c r="J44" s="54" t="s">
        <v>76</v>
      </c>
      <c r="K44" s="54" t="s">
        <v>76</v>
      </c>
      <c r="L44" s="54" t="s">
        <v>76</v>
      </c>
      <c r="M44" s="54" t="s">
        <v>76</v>
      </c>
      <c r="N44" s="54" t="s">
        <v>76</v>
      </c>
      <c r="O44" s="54" t="s">
        <v>76</v>
      </c>
      <c r="P44" s="54" t="s">
        <v>76</v>
      </c>
      <c r="Q44" s="54" t="s">
        <v>76</v>
      </c>
      <c r="R44" s="54" t="s">
        <v>76</v>
      </c>
      <c r="S44" s="54" t="s">
        <v>76</v>
      </c>
      <c r="T44" s="54" t="s">
        <v>76</v>
      </c>
      <c r="U44" s="54" t="s">
        <v>76</v>
      </c>
      <c r="V44" s="54" t="s">
        <v>176</v>
      </c>
      <c r="W44" s="54" t="s">
        <v>76</v>
      </c>
      <c r="X44" s="54" t="s">
        <v>76</v>
      </c>
      <c r="Y44" s="54" t="s">
        <v>76</v>
      </c>
      <c r="Z44" s="54" t="s">
        <v>76</v>
      </c>
      <c r="AA44" s="54"/>
      <c r="AB44" s="54" t="s">
        <v>76</v>
      </c>
      <c r="AC44" s="54" t="s">
        <v>76</v>
      </c>
      <c r="AD44" s="54" t="s">
        <v>76</v>
      </c>
      <c r="AE44" s="54" t="s">
        <v>76</v>
      </c>
      <c r="AF44" s="54" t="s">
        <v>76</v>
      </c>
      <c r="AG44" s="54" t="s">
        <v>76</v>
      </c>
      <c r="AH44" s="54" t="s">
        <v>76</v>
      </c>
      <c r="AI44" s="54" t="s">
        <v>76</v>
      </c>
      <c r="AJ44" s="54" t="s">
        <v>76</v>
      </c>
      <c r="AK44" s="54" t="s">
        <v>76</v>
      </c>
      <c r="AL44" s="54" t="s">
        <v>176</v>
      </c>
      <c r="AM44" s="54" t="s">
        <v>76</v>
      </c>
      <c r="AN44" s="54" t="s">
        <v>76</v>
      </c>
      <c r="AO44" s="54" t="s">
        <v>76</v>
      </c>
      <c r="AP44" s="54" t="s">
        <v>76</v>
      </c>
      <c r="AQ44" s="54" t="s">
        <v>76</v>
      </c>
      <c r="AR44" s="54" t="s">
        <v>76</v>
      </c>
      <c r="AS44" s="54" t="s">
        <v>76</v>
      </c>
      <c r="AT44" s="54" t="s">
        <v>76</v>
      </c>
      <c r="AU44" s="54" t="s">
        <v>76</v>
      </c>
      <c r="AV44" s="54" t="s">
        <v>176</v>
      </c>
      <c r="AW44" s="54" t="s">
        <v>76</v>
      </c>
      <c r="AX44" s="54" t="s">
        <v>176</v>
      </c>
      <c r="AY44" s="54" t="s">
        <v>176</v>
      </c>
      <c r="AZ44" s="54" t="s">
        <v>176</v>
      </c>
      <c r="BA44" s="54" t="s">
        <v>176</v>
      </c>
      <c r="BB44" s="54" t="s">
        <v>176</v>
      </c>
      <c r="BC44" s="54" t="s">
        <v>176</v>
      </c>
      <c r="BD44" s="54" t="s">
        <v>176</v>
      </c>
      <c r="BE44" s="54" t="s">
        <v>176</v>
      </c>
      <c r="BF44" s="54" t="s">
        <v>176</v>
      </c>
      <c r="BG44" s="54" t="s">
        <v>176</v>
      </c>
      <c r="BH44" s="54" t="s">
        <v>176</v>
      </c>
      <c r="BI44" s="54" t="s">
        <v>176</v>
      </c>
      <c r="BJ44" s="54" t="s">
        <v>176</v>
      </c>
      <c r="BK44" s="54" t="s">
        <v>176</v>
      </c>
      <c r="BL44" s="54" t="s">
        <v>176</v>
      </c>
      <c r="BM44" s="54" t="s">
        <v>176</v>
      </c>
      <c r="BN44" s="54" t="s">
        <v>176</v>
      </c>
      <c r="BO44" s="54" t="s">
        <v>176</v>
      </c>
      <c r="BP44" s="54" t="s">
        <v>176</v>
      </c>
      <c r="BQ44" s="54" t="s">
        <v>76</v>
      </c>
      <c r="BR44" s="54" t="s">
        <v>76</v>
      </c>
      <c r="BS44" s="54" t="s">
        <v>76</v>
      </c>
      <c r="BT44" s="54" t="s">
        <v>176</v>
      </c>
      <c r="BU44" s="54" t="s">
        <v>76</v>
      </c>
      <c r="BV44" s="54" t="s">
        <v>76</v>
      </c>
      <c r="BW44" s="54" t="s">
        <v>176</v>
      </c>
      <c r="BX44" s="54" t="s">
        <v>76</v>
      </c>
      <c r="BY44" s="54" t="s">
        <v>76</v>
      </c>
      <c r="BZ44" s="54" t="s">
        <v>76</v>
      </c>
      <c r="CA44" s="54" t="s">
        <v>76</v>
      </c>
      <c r="CB44" s="54" t="s">
        <v>76</v>
      </c>
      <c r="CC44" s="54" t="s">
        <v>76</v>
      </c>
      <c r="CD44" s="54" t="s">
        <v>76</v>
      </c>
      <c r="CE44" s="54" t="s">
        <v>76</v>
      </c>
      <c r="CF44" s="54" t="s">
        <v>176</v>
      </c>
      <c r="CG44" s="54" t="s">
        <v>76</v>
      </c>
      <c r="CH44" s="54" t="s">
        <v>76</v>
      </c>
      <c r="CI44" s="54" t="s">
        <v>76</v>
      </c>
      <c r="CJ44" s="54" t="s">
        <v>76</v>
      </c>
      <c r="CK44" s="54" t="s">
        <v>76</v>
      </c>
      <c r="CL44" s="54" t="s">
        <v>76</v>
      </c>
      <c r="CM44" s="54" t="s">
        <v>176</v>
      </c>
      <c r="CN44" s="54"/>
      <c r="CO44" s="54" t="s">
        <v>76</v>
      </c>
      <c r="CP44" s="54" t="s">
        <v>76</v>
      </c>
      <c r="CQ44" s="54" t="s">
        <v>76</v>
      </c>
      <c r="CR44" s="54" t="s">
        <v>76</v>
      </c>
      <c r="CS44" s="54" t="s">
        <v>176</v>
      </c>
      <c r="CT44" s="54" t="s">
        <v>176</v>
      </c>
      <c r="CU44" s="54" t="s">
        <v>76</v>
      </c>
      <c r="CV44" s="54" t="s">
        <v>176</v>
      </c>
      <c r="CW44" s="54" t="s">
        <v>76</v>
      </c>
      <c r="CX44" s="54" t="s">
        <v>76</v>
      </c>
      <c r="CY44" s="54" t="s">
        <v>76</v>
      </c>
      <c r="CZ44" s="54"/>
      <c r="DA44" s="54" t="s">
        <v>76</v>
      </c>
      <c r="DB44" s="54" t="s">
        <v>76</v>
      </c>
      <c r="DC44" s="54" t="s">
        <v>176</v>
      </c>
      <c r="DD44" s="54" t="s">
        <v>176</v>
      </c>
      <c r="DE44" s="54" t="s">
        <v>176</v>
      </c>
      <c r="DF44" s="54" t="s">
        <v>76</v>
      </c>
      <c r="DG44" s="54" t="s">
        <v>76</v>
      </c>
      <c r="DH44" s="54" t="s">
        <v>76</v>
      </c>
      <c r="DI44" s="54" t="s">
        <v>76</v>
      </c>
      <c r="DJ44" s="54" t="s">
        <v>76</v>
      </c>
      <c r="DK44" s="54" t="s">
        <v>176</v>
      </c>
      <c r="DL44" s="54" t="s">
        <v>176</v>
      </c>
      <c r="DM44" s="54" t="s">
        <v>176</v>
      </c>
      <c r="DN44" s="54" t="s">
        <v>76</v>
      </c>
      <c r="DO44" s="54" t="s">
        <v>76</v>
      </c>
      <c r="DP44" s="54" t="s">
        <v>76</v>
      </c>
      <c r="DQ44" s="54" t="s">
        <v>176</v>
      </c>
      <c r="DR44" s="54" t="s">
        <v>76</v>
      </c>
      <c r="DS44" s="54" t="s">
        <v>76</v>
      </c>
      <c r="DT44" s="54" t="s">
        <v>76</v>
      </c>
      <c r="DU44" s="54" t="s">
        <v>76</v>
      </c>
      <c r="DV44" s="54" t="s">
        <v>76</v>
      </c>
      <c r="DW44" s="54" t="s">
        <v>176</v>
      </c>
      <c r="DX44" s="54"/>
      <c r="DY44" s="54" t="s">
        <v>176</v>
      </c>
      <c r="DZ44" s="54"/>
      <c r="EA44" s="54"/>
      <c r="EB44" s="54"/>
      <c r="EC44" s="54"/>
      <c r="ED44" s="54"/>
      <c r="EE44" s="54" t="s">
        <v>76</v>
      </c>
      <c r="EF44" s="54" t="s">
        <v>76</v>
      </c>
      <c r="EG44" s="54" t="s">
        <v>76</v>
      </c>
      <c r="EH44" s="54" t="s">
        <v>76</v>
      </c>
      <c r="EI44" s="54" t="s">
        <v>76</v>
      </c>
      <c r="EJ44" s="54" t="s">
        <v>76</v>
      </c>
      <c r="EK44" s="54" t="s">
        <v>76</v>
      </c>
      <c r="EL44" s="54" t="s">
        <v>76</v>
      </c>
      <c r="EM44" s="54" t="s">
        <v>76</v>
      </c>
      <c r="EN44" s="54" t="s">
        <v>76</v>
      </c>
      <c r="EO44" s="54" t="s">
        <v>76</v>
      </c>
      <c r="EP44" s="54" t="s">
        <v>176</v>
      </c>
      <c r="EQ44" s="54" t="s">
        <v>76</v>
      </c>
      <c r="ER44" s="54" t="s">
        <v>76</v>
      </c>
      <c r="ES44" s="54" t="s">
        <v>76</v>
      </c>
      <c r="ET44" s="54" t="s">
        <v>76</v>
      </c>
      <c r="EU44" s="54" t="s">
        <v>76</v>
      </c>
      <c r="EV44" s="54" t="s">
        <v>76</v>
      </c>
      <c r="EW44" s="54" t="s">
        <v>76</v>
      </c>
      <c r="EX44" s="54" t="s">
        <v>76</v>
      </c>
      <c r="EY44" s="54" t="s">
        <v>76</v>
      </c>
      <c r="EZ44" s="54" t="s">
        <v>76</v>
      </c>
      <c r="FA44" s="54" t="s">
        <v>76</v>
      </c>
      <c r="FB44" s="54" t="s">
        <v>76</v>
      </c>
      <c r="FC44" s="54" t="s">
        <v>76</v>
      </c>
      <c r="FD44" s="54" t="s">
        <v>76</v>
      </c>
      <c r="FE44" s="54" t="s">
        <v>76</v>
      </c>
      <c r="FF44" s="54" t="s">
        <v>76</v>
      </c>
      <c r="FG44" s="54" t="s">
        <v>76</v>
      </c>
      <c r="FH44" s="54" t="s">
        <v>76</v>
      </c>
      <c r="FI44" s="54" t="s">
        <v>76</v>
      </c>
      <c r="FJ44" s="54" t="s">
        <v>76</v>
      </c>
      <c r="FK44" s="54" t="s">
        <v>76</v>
      </c>
      <c r="FL44" s="54" t="s">
        <v>76</v>
      </c>
      <c r="FM44" s="54" t="s">
        <v>76</v>
      </c>
      <c r="FN44" s="54" t="s">
        <v>76</v>
      </c>
      <c r="FO44" s="54" t="s">
        <v>76</v>
      </c>
      <c r="FP44" s="54" t="s">
        <v>76</v>
      </c>
      <c r="FQ44" s="54" t="s">
        <v>76</v>
      </c>
      <c r="FR44" s="54" t="s">
        <v>76</v>
      </c>
      <c r="FS44" s="54" t="s">
        <v>76</v>
      </c>
      <c r="FT44" s="54" t="s">
        <v>76</v>
      </c>
      <c r="FU44" s="54" t="s">
        <v>76</v>
      </c>
      <c r="FV44" s="54" t="s">
        <v>76</v>
      </c>
      <c r="FW44" s="54" t="s">
        <v>76</v>
      </c>
      <c r="FX44" s="54" t="s">
        <v>76</v>
      </c>
      <c r="FY44" s="54" t="s">
        <v>76</v>
      </c>
      <c r="FZ44" s="54" t="s">
        <v>76</v>
      </c>
      <c r="GA44" s="54" t="s">
        <v>76</v>
      </c>
      <c r="GB44" s="54" t="s">
        <v>76</v>
      </c>
      <c r="GC44" s="54" t="s">
        <v>76</v>
      </c>
      <c r="GD44" s="54" t="s">
        <v>76</v>
      </c>
      <c r="GE44" s="54" t="s">
        <v>76</v>
      </c>
      <c r="GF44" s="54" t="s">
        <v>76</v>
      </c>
      <c r="GG44" s="54" t="s">
        <v>76</v>
      </c>
      <c r="GH44" s="54" t="s">
        <v>76</v>
      </c>
      <c r="GI44" s="54" t="s">
        <v>76</v>
      </c>
      <c r="GJ44" s="54" t="s">
        <v>76</v>
      </c>
      <c r="GK44" s="54" t="s">
        <v>76</v>
      </c>
      <c r="GL44" s="54" t="s">
        <v>76</v>
      </c>
      <c r="GM44" s="54" t="s">
        <v>76</v>
      </c>
      <c r="GN44" s="54" t="s">
        <v>76</v>
      </c>
      <c r="GO44" s="54" t="s">
        <v>76</v>
      </c>
      <c r="GP44" s="54" t="s">
        <v>76</v>
      </c>
      <c r="GQ44" s="54" t="s">
        <v>76</v>
      </c>
      <c r="GR44" s="54" t="s">
        <v>76</v>
      </c>
      <c r="GS44" s="54" t="s">
        <v>76</v>
      </c>
      <c r="GT44" s="54" t="s">
        <v>76</v>
      </c>
      <c r="GU44" s="54" t="s">
        <v>76</v>
      </c>
      <c r="GV44" s="54" t="s">
        <v>76</v>
      </c>
    </row>
    <row r="45">
      <c r="A45" s="58" t="s">
        <v>49</v>
      </c>
      <c r="B45" s="58" t="s">
        <v>698</v>
      </c>
      <c r="D45" s="53" t="str">
        <f t="array" ref="D45:E45">IF('Wątki'!B46=$A$1,INDIRECT("Klasa"),IF('Wątki'!B46=$A$2,INDIRECT("Grupa"),IF('Wątki'!B46=$A$3,INDIRECT("Postać"),"Nie")))</f>
        <v>Tak</v>
      </c>
      <c r="E45" s="53" t="s">
        <v>191</v>
      </c>
      <c r="F45" s="54" t="s">
        <v>77</v>
      </c>
      <c r="G45" s="54" t="s">
        <v>77</v>
      </c>
      <c r="H45" s="54" t="s">
        <v>77</v>
      </c>
      <c r="I45" s="54"/>
      <c r="J45" s="54" t="s">
        <v>77</v>
      </c>
      <c r="K45" s="54" t="s">
        <v>77</v>
      </c>
      <c r="L45" s="54" t="s">
        <v>77</v>
      </c>
      <c r="M45" s="54" t="s">
        <v>77</v>
      </c>
      <c r="N45" s="54" t="s">
        <v>77</v>
      </c>
      <c r="O45" s="54" t="s">
        <v>77</v>
      </c>
      <c r="P45" s="54" t="s">
        <v>77</v>
      </c>
      <c r="Q45" s="54" t="s">
        <v>77</v>
      </c>
      <c r="R45" s="54" t="s">
        <v>77</v>
      </c>
      <c r="S45" s="54" t="s">
        <v>77</v>
      </c>
      <c r="T45" s="54" t="s">
        <v>77</v>
      </c>
      <c r="U45" s="54" t="s">
        <v>77</v>
      </c>
      <c r="V45" s="54"/>
      <c r="W45" s="54" t="s">
        <v>77</v>
      </c>
      <c r="X45" s="54" t="s">
        <v>77</v>
      </c>
      <c r="Y45" s="54" t="s">
        <v>77</v>
      </c>
      <c r="Z45" s="54" t="s">
        <v>77</v>
      </c>
      <c r="AA45" s="54"/>
      <c r="AB45" s="54" t="s">
        <v>77</v>
      </c>
      <c r="AC45" s="54" t="s">
        <v>77</v>
      </c>
      <c r="AD45" s="54" t="s">
        <v>77</v>
      </c>
      <c r="AE45" s="54" t="s">
        <v>77</v>
      </c>
      <c r="AF45" s="54" t="s">
        <v>77</v>
      </c>
      <c r="AG45" s="54" t="s">
        <v>77</v>
      </c>
      <c r="AH45" s="54" t="s">
        <v>77</v>
      </c>
      <c r="AI45" s="54" t="s">
        <v>77</v>
      </c>
      <c r="AJ45" s="54" t="s">
        <v>77</v>
      </c>
      <c r="AK45" s="54" t="s">
        <v>77</v>
      </c>
      <c r="AL45" s="54"/>
      <c r="AM45" s="54" t="s">
        <v>77</v>
      </c>
      <c r="AN45" s="54" t="s">
        <v>77</v>
      </c>
      <c r="AO45" s="54" t="s">
        <v>77</v>
      </c>
      <c r="AP45" s="54" t="s">
        <v>77</v>
      </c>
      <c r="AQ45" s="54" t="s">
        <v>77</v>
      </c>
      <c r="AR45" s="54" t="s">
        <v>77</v>
      </c>
      <c r="AS45" s="54" t="s">
        <v>77</v>
      </c>
      <c r="AT45" s="54" t="s">
        <v>77</v>
      </c>
      <c r="AU45" s="54" t="s">
        <v>77</v>
      </c>
      <c r="AV45" s="54"/>
      <c r="AW45" s="54" t="s">
        <v>77</v>
      </c>
      <c r="AX45" s="54"/>
      <c r="AY45" s="54"/>
      <c r="AZ45" s="54"/>
      <c r="BA45" s="54"/>
      <c r="BB45" s="54"/>
      <c r="BC45" s="54"/>
      <c r="BD45" s="54"/>
      <c r="BE45" s="54"/>
      <c r="BF45" s="54"/>
      <c r="BG45" s="54"/>
      <c r="BH45" s="54"/>
      <c r="BI45" s="54"/>
      <c r="BJ45" s="54"/>
      <c r="BK45" s="54"/>
      <c r="BL45" s="54"/>
      <c r="BM45" s="54"/>
      <c r="BN45" s="54"/>
      <c r="BO45" s="54"/>
      <c r="BP45" s="54"/>
      <c r="BQ45" s="54" t="s">
        <v>77</v>
      </c>
      <c r="BR45" s="54" t="s">
        <v>77</v>
      </c>
      <c r="BS45" s="54" t="s">
        <v>77</v>
      </c>
      <c r="BT45" s="54"/>
      <c r="BU45" s="54" t="s">
        <v>77</v>
      </c>
      <c r="BV45" s="54" t="s">
        <v>77</v>
      </c>
      <c r="BW45" s="54"/>
      <c r="BX45" s="54" t="s">
        <v>77</v>
      </c>
      <c r="BY45" s="54" t="s">
        <v>77</v>
      </c>
      <c r="BZ45" s="54" t="s">
        <v>77</v>
      </c>
      <c r="CA45" s="54" t="s">
        <v>77</v>
      </c>
      <c r="CB45" s="54" t="s">
        <v>77</v>
      </c>
      <c r="CC45" s="54" t="s">
        <v>77</v>
      </c>
      <c r="CD45" s="54" t="s">
        <v>77</v>
      </c>
      <c r="CE45" s="54" t="s">
        <v>77</v>
      </c>
      <c r="CF45" s="54"/>
      <c r="CG45" s="54" t="s">
        <v>77</v>
      </c>
      <c r="CH45" s="54" t="s">
        <v>77</v>
      </c>
      <c r="CI45" s="54" t="s">
        <v>77</v>
      </c>
      <c r="CJ45" s="54" t="s">
        <v>77</v>
      </c>
      <c r="CK45" s="54" t="s">
        <v>77</v>
      </c>
      <c r="CL45" s="54" t="s">
        <v>77</v>
      </c>
      <c r="CM45" s="54"/>
      <c r="CN45" s="54"/>
      <c r="CO45" s="54" t="s">
        <v>77</v>
      </c>
      <c r="CP45" s="54" t="s">
        <v>77</v>
      </c>
      <c r="CQ45" s="54" t="s">
        <v>77</v>
      </c>
      <c r="CR45" s="54" t="s">
        <v>77</v>
      </c>
      <c r="CS45" s="54"/>
      <c r="CT45" s="54"/>
      <c r="CU45" s="54" t="s">
        <v>77</v>
      </c>
      <c r="CV45" s="54"/>
      <c r="CW45" s="54" t="s">
        <v>77</v>
      </c>
      <c r="CX45" s="54" t="s">
        <v>77</v>
      </c>
      <c r="CY45" s="54" t="s">
        <v>77</v>
      </c>
      <c r="CZ45" s="54"/>
      <c r="DA45" s="54" t="s">
        <v>77</v>
      </c>
      <c r="DB45" s="54" t="s">
        <v>77</v>
      </c>
      <c r="DC45" s="54"/>
      <c r="DD45" s="54"/>
      <c r="DE45" s="54"/>
      <c r="DF45" s="54" t="s">
        <v>77</v>
      </c>
      <c r="DG45" s="54" t="s">
        <v>77</v>
      </c>
      <c r="DH45" s="54" t="s">
        <v>77</v>
      </c>
      <c r="DI45" s="54" t="s">
        <v>77</v>
      </c>
      <c r="DJ45" s="54" t="s">
        <v>77</v>
      </c>
      <c r="DK45" s="54"/>
      <c r="DL45" s="54"/>
      <c r="DM45" s="54"/>
      <c r="DN45" s="54" t="s">
        <v>77</v>
      </c>
      <c r="DO45" s="54" t="s">
        <v>77</v>
      </c>
      <c r="DP45" s="54" t="s">
        <v>77</v>
      </c>
      <c r="DQ45" s="54"/>
      <c r="DR45" s="54" t="s">
        <v>77</v>
      </c>
      <c r="DS45" s="54" t="s">
        <v>77</v>
      </c>
      <c r="DT45" s="54" t="s">
        <v>77</v>
      </c>
      <c r="DU45" s="54" t="s">
        <v>77</v>
      </c>
      <c r="DV45" s="54" t="s">
        <v>77</v>
      </c>
      <c r="DW45" s="54"/>
      <c r="DX45" s="54"/>
      <c r="DY45" s="54"/>
      <c r="DZ45" s="54"/>
      <c r="EA45" s="54"/>
      <c r="EB45" s="54"/>
      <c r="EC45" s="54"/>
      <c r="ED45" s="54"/>
      <c r="EE45" s="54" t="s">
        <v>77</v>
      </c>
      <c r="EF45" s="54" t="s">
        <v>77</v>
      </c>
      <c r="EG45" s="54" t="s">
        <v>77</v>
      </c>
      <c r="EH45" s="54" t="s">
        <v>77</v>
      </c>
      <c r="EI45" s="54" t="s">
        <v>77</v>
      </c>
      <c r="EJ45" s="54" t="s">
        <v>77</v>
      </c>
      <c r="EK45" s="54" t="s">
        <v>77</v>
      </c>
      <c r="EL45" s="54" t="s">
        <v>77</v>
      </c>
      <c r="EM45" s="54" t="s">
        <v>77</v>
      </c>
      <c r="EN45" s="54" t="s">
        <v>77</v>
      </c>
      <c r="EO45" s="54" t="s">
        <v>77</v>
      </c>
      <c r="EP45" s="54"/>
      <c r="EQ45" s="54" t="s">
        <v>77</v>
      </c>
      <c r="ER45" s="54" t="s">
        <v>77</v>
      </c>
      <c r="ES45" s="54" t="s">
        <v>77</v>
      </c>
      <c r="ET45" s="54" t="s">
        <v>77</v>
      </c>
      <c r="EU45" s="54" t="s">
        <v>77</v>
      </c>
      <c r="EV45" s="54" t="s">
        <v>77</v>
      </c>
      <c r="EW45" s="54" t="s">
        <v>77</v>
      </c>
      <c r="EX45" s="54" t="s">
        <v>77</v>
      </c>
      <c r="EY45" s="54" t="s">
        <v>77</v>
      </c>
      <c r="EZ45" s="54" t="s">
        <v>77</v>
      </c>
      <c r="FA45" s="54" t="s">
        <v>77</v>
      </c>
      <c r="FB45" s="54" t="s">
        <v>77</v>
      </c>
      <c r="FC45" s="54" t="s">
        <v>77</v>
      </c>
      <c r="FD45" s="54" t="s">
        <v>77</v>
      </c>
      <c r="FE45" s="54" t="s">
        <v>77</v>
      </c>
      <c r="FF45" s="54" t="s">
        <v>77</v>
      </c>
      <c r="FG45" s="54" t="s">
        <v>77</v>
      </c>
      <c r="FH45" s="54" t="s">
        <v>77</v>
      </c>
      <c r="FI45" s="54" t="s">
        <v>77</v>
      </c>
      <c r="FJ45" s="54" t="s">
        <v>77</v>
      </c>
      <c r="FK45" s="54" t="s">
        <v>77</v>
      </c>
      <c r="FL45" s="54" t="s">
        <v>77</v>
      </c>
      <c r="FM45" s="54" t="s">
        <v>77</v>
      </c>
      <c r="FN45" s="54" t="s">
        <v>77</v>
      </c>
      <c r="FO45" s="54" t="s">
        <v>77</v>
      </c>
      <c r="FP45" s="54" t="s">
        <v>77</v>
      </c>
      <c r="FQ45" s="54" t="s">
        <v>77</v>
      </c>
      <c r="FR45" s="54" t="s">
        <v>77</v>
      </c>
      <c r="FS45" s="54" t="s">
        <v>77</v>
      </c>
      <c r="FT45" s="54" t="s">
        <v>77</v>
      </c>
      <c r="FU45" s="54" t="s">
        <v>77</v>
      </c>
      <c r="FV45" s="54" t="s">
        <v>77</v>
      </c>
      <c r="FW45" s="54" t="s">
        <v>77</v>
      </c>
      <c r="FX45" s="54" t="s">
        <v>77</v>
      </c>
      <c r="FY45" s="54" t="s">
        <v>77</v>
      </c>
      <c r="FZ45" s="54" t="s">
        <v>77</v>
      </c>
      <c r="GA45" s="54" t="s">
        <v>77</v>
      </c>
      <c r="GB45" s="54" t="s">
        <v>77</v>
      </c>
      <c r="GC45" s="54" t="s">
        <v>77</v>
      </c>
      <c r="GD45" s="54" t="s">
        <v>77</v>
      </c>
      <c r="GE45" s="54" t="s">
        <v>77</v>
      </c>
      <c r="GF45" s="54" t="s">
        <v>77</v>
      </c>
      <c r="GG45" s="54" t="s">
        <v>77</v>
      </c>
      <c r="GH45" s="54" t="s">
        <v>77</v>
      </c>
      <c r="GI45" s="54" t="s">
        <v>77</v>
      </c>
      <c r="GJ45" s="54" t="s">
        <v>77</v>
      </c>
      <c r="GK45" s="54" t="s">
        <v>77</v>
      </c>
      <c r="GL45" s="54" t="s">
        <v>77</v>
      </c>
      <c r="GM45" s="54" t="s">
        <v>77</v>
      </c>
      <c r="GN45" s="54" t="s">
        <v>77</v>
      </c>
      <c r="GO45" s="54" t="s">
        <v>77</v>
      </c>
      <c r="GP45" s="54" t="s">
        <v>77</v>
      </c>
      <c r="GQ45" s="54" t="s">
        <v>77</v>
      </c>
      <c r="GR45" s="54" t="s">
        <v>77</v>
      </c>
      <c r="GS45" s="54" t="s">
        <v>77</v>
      </c>
      <c r="GT45" s="54" t="s">
        <v>77</v>
      </c>
      <c r="GU45" s="54" t="s">
        <v>77</v>
      </c>
      <c r="GV45" s="54" t="s">
        <v>77</v>
      </c>
    </row>
    <row r="46">
      <c r="A46" s="59"/>
      <c r="B46" s="58" t="s">
        <v>699</v>
      </c>
      <c r="D46" s="53" t="str">
        <f t="array" ref="D46:E46">IF('Wątki'!B47=$A$1,INDIRECT("Klasa"),IF('Wątki'!B47=$A$2,INDIRECT("Grupa"),IF('Wątki'!B47=$A$3,INDIRECT("Postać"),"Nie")))</f>
        <v>Tak</v>
      </c>
      <c r="E46" s="53" t="s">
        <v>191</v>
      </c>
      <c r="F46" s="54" t="s">
        <v>78</v>
      </c>
      <c r="G46" s="54" t="s">
        <v>78</v>
      </c>
      <c r="H46" s="54" t="s">
        <v>78</v>
      </c>
      <c r="I46" s="54"/>
      <c r="J46" s="54" t="s">
        <v>78</v>
      </c>
      <c r="K46" s="54" t="s">
        <v>78</v>
      </c>
      <c r="L46" s="54" t="s">
        <v>78</v>
      </c>
      <c r="M46" s="54" t="s">
        <v>78</v>
      </c>
      <c r="N46" s="54" t="s">
        <v>78</v>
      </c>
      <c r="O46" s="54" t="s">
        <v>78</v>
      </c>
      <c r="P46" s="54" t="s">
        <v>78</v>
      </c>
      <c r="Q46" s="54" t="s">
        <v>78</v>
      </c>
      <c r="R46" s="54" t="s">
        <v>78</v>
      </c>
      <c r="S46" s="54" t="s">
        <v>78</v>
      </c>
      <c r="T46" s="54" t="s">
        <v>78</v>
      </c>
      <c r="U46" s="54" t="s">
        <v>78</v>
      </c>
      <c r="V46" s="54"/>
      <c r="W46" s="54" t="s">
        <v>78</v>
      </c>
      <c r="X46" s="54" t="s">
        <v>78</v>
      </c>
      <c r="Y46" s="54" t="s">
        <v>78</v>
      </c>
      <c r="Z46" s="54" t="s">
        <v>78</v>
      </c>
      <c r="AA46" s="54"/>
      <c r="AB46" s="54" t="s">
        <v>78</v>
      </c>
      <c r="AC46" s="54" t="s">
        <v>78</v>
      </c>
      <c r="AD46" s="54" t="s">
        <v>78</v>
      </c>
      <c r="AE46" s="54" t="s">
        <v>78</v>
      </c>
      <c r="AF46" s="54" t="s">
        <v>78</v>
      </c>
      <c r="AG46" s="54" t="s">
        <v>78</v>
      </c>
      <c r="AH46" s="54" t="s">
        <v>78</v>
      </c>
      <c r="AI46" s="54" t="s">
        <v>78</v>
      </c>
      <c r="AJ46" s="54" t="s">
        <v>78</v>
      </c>
      <c r="AK46" s="54" t="s">
        <v>78</v>
      </c>
      <c r="AL46" s="54"/>
      <c r="AM46" s="54" t="s">
        <v>78</v>
      </c>
      <c r="AN46" s="54" t="s">
        <v>78</v>
      </c>
      <c r="AO46" s="54" t="s">
        <v>78</v>
      </c>
      <c r="AP46" s="54" t="s">
        <v>78</v>
      </c>
      <c r="AQ46" s="54" t="s">
        <v>78</v>
      </c>
      <c r="AR46" s="54" t="s">
        <v>78</v>
      </c>
      <c r="AS46" s="54" t="s">
        <v>78</v>
      </c>
      <c r="AT46" s="54" t="s">
        <v>78</v>
      </c>
      <c r="AU46" s="54" t="s">
        <v>78</v>
      </c>
      <c r="AV46" s="54"/>
      <c r="AW46" s="54" t="s">
        <v>78</v>
      </c>
      <c r="AX46" s="54"/>
      <c r="AY46" s="54"/>
      <c r="AZ46" s="54"/>
      <c r="BA46" s="54"/>
      <c r="BB46" s="54"/>
      <c r="BC46" s="54"/>
      <c r="BD46" s="54"/>
      <c r="BE46" s="54"/>
      <c r="BF46" s="54"/>
      <c r="BG46" s="54"/>
      <c r="BH46" s="54"/>
      <c r="BI46" s="54"/>
      <c r="BJ46" s="54"/>
      <c r="BK46" s="54"/>
      <c r="BL46" s="54"/>
      <c r="BM46" s="54"/>
      <c r="BN46" s="54"/>
      <c r="BO46" s="54"/>
      <c r="BP46" s="54"/>
      <c r="BQ46" s="54" t="s">
        <v>78</v>
      </c>
      <c r="BR46" s="54" t="s">
        <v>78</v>
      </c>
      <c r="BS46" s="54" t="s">
        <v>78</v>
      </c>
      <c r="BT46" s="54"/>
      <c r="BU46" s="54" t="s">
        <v>78</v>
      </c>
      <c r="BV46" s="54" t="s">
        <v>78</v>
      </c>
      <c r="BW46" s="54"/>
      <c r="BX46" s="54" t="s">
        <v>78</v>
      </c>
      <c r="BY46" s="54" t="s">
        <v>78</v>
      </c>
      <c r="BZ46" s="54" t="s">
        <v>78</v>
      </c>
      <c r="CA46" s="54" t="s">
        <v>78</v>
      </c>
      <c r="CB46" s="54" t="s">
        <v>78</v>
      </c>
      <c r="CC46" s="54" t="s">
        <v>78</v>
      </c>
      <c r="CD46" s="54" t="s">
        <v>78</v>
      </c>
      <c r="CE46" s="54" t="s">
        <v>78</v>
      </c>
      <c r="CF46" s="54"/>
      <c r="CG46" s="54" t="s">
        <v>78</v>
      </c>
      <c r="CH46" s="54" t="s">
        <v>78</v>
      </c>
      <c r="CI46" s="54" t="s">
        <v>78</v>
      </c>
      <c r="CJ46" s="54" t="s">
        <v>78</v>
      </c>
      <c r="CK46" s="54" t="s">
        <v>78</v>
      </c>
      <c r="CL46" s="54" t="s">
        <v>78</v>
      </c>
      <c r="CM46" s="54"/>
      <c r="CN46" s="54"/>
      <c r="CO46" s="54" t="s">
        <v>78</v>
      </c>
      <c r="CP46" s="54" t="s">
        <v>78</v>
      </c>
      <c r="CQ46" s="54" t="s">
        <v>78</v>
      </c>
      <c r="CR46" s="54" t="s">
        <v>78</v>
      </c>
      <c r="CS46" s="54"/>
      <c r="CT46" s="54"/>
      <c r="CU46" s="54" t="s">
        <v>78</v>
      </c>
      <c r="CV46" s="54"/>
      <c r="CW46" s="54" t="s">
        <v>78</v>
      </c>
      <c r="CX46" s="54" t="s">
        <v>78</v>
      </c>
      <c r="CY46" s="54" t="s">
        <v>78</v>
      </c>
      <c r="CZ46" s="54"/>
      <c r="DA46" s="54" t="s">
        <v>78</v>
      </c>
      <c r="DB46" s="54" t="s">
        <v>78</v>
      </c>
      <c r="DC46" s="54"/>
      <c r="DD46" s="54"/>
      <c r="DE46" s="54"/>
      <c r="DF46" s="54" t="s">
        <v>78</v>
      </c>
      <c r="DG46" s="54" t="s">
        <v>78</v>
      </c>
      <c r="DH46" s="54" t="s">
        <v>78</v>
      </c>
      <c r="DI46" s="54" t="s">
        <v>78</v>
      </c>
      <c r="DJ46" s="54" t="s">
        <v>78</v>
      </c>
      <c r="DK46" s="54"/>
      <c r="DL46" s="54"/>
      <c r="DM46" s="54"/>
      <c r="DN46" s="54" t="s">
        <v>78</v>
      </c>
      <c r="DO46" s="54" t="s">
        <v>78</v>
      </c>
      <c r="DP46" s="54" t="s">
        <v>78</v>
      </c>
      <c r="DQ46" s="54"/>
      <c r="DR46" s="54" t="s">
        <v>78</v>
      </c>
      <c r="DS46" s="54" t="s">
        <v>78</v>
      </c>
      <c r="DT46" s="54" t="s">
        <v>78</v>
      </c>
      <c r="DU46" s="54" t="s">
        <v>78</v>
      </c>
      <c r="DV46" s="54" t="s">
        <v>78</v>
      </c>
      <c r="DW46" s="54"/>
      <c r="DX46" s="54"/>
      <c r="DY46" s="54"/>
      <c r="DZ46" s="54"/>
      <c r="EA46" s="54"/>
      <c r="EB46" s="54"/>
      <c r="EC46" s="54"/>
      <c r="ED46" s="54"/>
      <c r="EE46" s="54" t="s">
        <v>78</v>
      </c>
      <c r="EF46" s="54" t="s">
        <v>78</v>
      </c>
      <c r="EG46" s="54" t="s">
        <v>78</v>
      </c>
      <c r="EH46" s="54" t="s">
        <v>78</v>
      </c>
      <c r="EI46" s="54" t="s">
        <v>78</v>
      </c>
      <c r="EJ46" s="54" t="s">
        <v>78</v>
      </c>
      <c r="EK46" s="54" t="s">
        <v>78</v>
      </c>
      <c r="EL46" s="54" t="s">
        <v>78</v>
      </c>
      <c r="EM46" s="54" t="s">
        <v>78</v>
      </c>
      <c r="EN46" s="54" t="s">
        <v>78</v>
      </c>
      <c r="EO46" s="54" t="s">
        <v>78</v>
      </c>
      <c r="EP46" s="54"/>
      <c r="EQ46" s="54" t="s">
        <v>78</v>
      </c>
      <c r="ER46" s="54" t="s">
        <v>78</v>
      </c>
      <c r="ES46" s="54" t="s">
        <v>78</v>
      </c>
      <c r="ET46" s="54" t="s">
        <v>78</v>
      </c>
      <c r="EU46" s="54" t="s">
        <v>78</v>
      </c>
      <c r="EV46" s="54" t="s">
        <v>78</v>
      </c>
      <c r="EW46" s="54" t="s">
        <v>78</v>
      </c>
      <c r="EX46" s="54" t="s">
        <v>78</v>
      </c>
      <c r="EY46" s="54" t="s">
        <v>78</v>
      </c>
      <c r="EZ46" s="54" t="s">
        <v>78</v>
      </c>
      <c r="FA46" s="54" t="s">
        <v>78</v>
      </c>
      <c r="FB46" s="54" t="s">
        <v>78</v>
      </c>
      <c r="FC46" s="54" t="s">
        <v>78</v>
      </c>
      <c r="FD46" s="54" t="s">
        <v>78</v>
      </c>
      <c r="FE46" s="54" t="s">
        <v>78</v>
      </c>
      <c r="FF46" s="54" t="s">
        <v>78</v>
      </c>
      <c r="FG46" s="54" t="s">
        <v>78</v>
      </c>
      <c r="FH46" s="54" t="s">
        <v>78</v>
      </c>
      <c r="FI46" s="54" t="s">
        <v>78</v>
      </c>
      <c r="FJ46" s="54" t="s">
        <v>78</v>
      </c>
      <c r="FK46" s="54" t="s">
        <v>78</v>
      </c>
      <c r="FL46" s="54" t="s">
        <v>78</v>
      </c>
      <c r="FM46" s="54" t="s">
        <v>78</v>
      </c>
      <c r="FN46" s="54" t="s">
        <v>78</v>
      </c>
      <c r="FO46" s="54" t="s">
        <v>78</v>
      </c>
      <c r="FP46" s="54" t="s">
        <v>78</v>
      </c>
      <c r="FQ46" s="54" t="s">
        <v>78</v>
      </c>
      <c r="FR46" s="54" t="s">
        <v>78</v>
      </c>
      <c r="FS46" s="54" t="s">
        <v>78</v>
      </c>
      <c r="FT46" s="54" t="s">
        <v>78</v>
      </c>
      <c r="FU46" s="54" t="s">
        <v>78</v>
      </c>
      <c r="FV46" s="54" t="s">
        <v>78</v>
      </c>
      <c r="FW46" s="54" t="s">
        <v>78</v>
      </c>
      <c r="FX46" s="54" t="s">
        <v>78</v>
      </c>
      <c r="FY46" s="54" t="s">
        <v>78</v>
      </c>
      <c r="FZ46" s="54" t="s">
        <v>78</v>
      </c>
      <c r="GA46" s="54" t="s">
        <v>78</v>
      </c>
      <c r="GB46" s="54" t="s">
        <v>78</v>
      </c>
      <c r="GC46" s="54" t="s">
        <v>78</v>
      </c>
      <c r="GD46" s="54" t="s">
        <v>78</v>
      </c>
      <c r="GE46" s="54" t="s">
        <v>78</v>
      </c>
      <c r="GF46" s="54" t="s">
        <v>78</v>
      </c>
      <c r="GG46" s="54" t="s">
        <v>78</v>
      </c>
      <c r="GH46" s="54" t="s">
        <v>78</v>
      </c>
      <c r="GI46" s="54" t="s">
        <v>78</v>
      </c>
      <c r="GJ46" s="54" t="s">
        <v>78</v>
      </c>
      <c r="GK46" s="54" t="s">
        <v>78</v>
      </c>
      <c r="GL46" s="54" t="s">
        <v>78</v>
      </c>
      <c r="GM46" s="54" t="s">
        <v>78</v>
      </c>
      <c r="GN46" s="54" t="s">
        <v>78</v>
      </c>
      <c r="GO46" s="54" t="s">
        <v>78</v>
      </c>
      <c r="GP46" s="54" t="s">
        <v>78</v>
      </c>
      <c r="GQ46" s="54" t="s">
        <v>78</v>
      </c>
      <c r="GR46" s="54" t="s">
        <v>78</v>
      </c>
      <c r="GS46" s="54" t="s">
        <v>78</v>
      </c>
      <c r="GT46" s="54" t="s">
        <v>78</v>
      </c>
      <c r="GU46" s="54" t="s">
        <v>78</v>
      </c>
      <c r="GV46" s="54" t="s">
        <v>78</v>
      </c>
    </row>
    <row r="47">
      <c r="A47" s="59"/>
      <c r="B47" s="58" t="s">
        <v>50</v>
      </c>
      <c r="D47" s="53" t="str">
        <f t="array" ref="D47:E47">IF('Wątki'!B48=$A$1,INDIRECT("Klasa"),IF('Wątki'!B48=$A$2,INDIRECT("Grupa"),IF('Wątki'!B48=$A$3,INDIRECT("Postać"),"Nie")))</f>
        <v>Tak</v>
      </c>
      <c r="E47" s="53" t="s">
        <v>191</v>
      </c>
      <c r="F47" s="54" t="s">
        <v>79</v>
      </c>
      <c r="G47" s="54" t="s">
        <v>79</v>
      </c>
      <c r="H47" s="54" t="s">
        <v>79</v>
      </c>
      <c r="I47" s="54"/>
      <c r="J47" s="54" t="s">
        <v>79</v>
      </c>
      <c r="K47" s="54" t="s">
        <v>79</v>
      </c>
      <c r="L47" s="54" t="s">
        <v>79</v>
      </c>
      <c r="M47" s="54" t="s">
        <v>79</v>
      </c>
      <c r="N47" s="54" t="s">
        <v>79</v>
      </c>
      <c r="O47" s="54" t="s">
        <v>79</v>
      </c>
      <c r="P47" s="54" t="s">
        <v>79</v>
      </c>
      <c r="Q47" s="54" t="s">
        <v>79</v>
      </c>
      <c r="R47" s="54" t="s">
        <v>79</v>
      </c>
      <c r="S47" s="54" t="s">
        <v>79</v>
      </c>
      <c r="T47" s="54" t="s">
        <v>79</v>
      </c>
      <c r="U47" s="54" t="s">
        <v>79</v>
      </c>
      <c r="V47" s="54"/>
      <c r="W47" s="54" t="s">
        <v>79</v>
      </c>
      <c r="X47" s="54" t="s">
        <v>79</v>
      </c>
      <c r="Y47" s="54" t="s">
        <v>79</v>
      </c>
      <c r="Z47" s="54" t="s">
        <v>79</v>
      </c>
      <c r="AA47" s="54"/>
      <c r="AB47" s="54" t="s">
        <v>79</v>
      </c>
      <c r="AC47" s="54" t="s">
        <v>79</v>
      </c>
      <c r="AD47" s="54" t="s">
        <v>79</v>
      </c>
      <c r="AE47" s="54" t="s">
        <v>79</v>
      </c>
      <c r="AF47" s="54" t="s">
        <v>79</v>
      </c>
      <c r="AG47" s="54" t="s">
        <v>79</v>
      </c>
      <c r="AH47" s="54" t="s">
        <v>79</v>
      </c>
      <c r="AI47" s="54" t="s">
        <v>79</v>
      </c>
      <c r="AJ47" s="54" t="s">
        <v>79</v>
      </c>
      <c r="AK47" s="54" t="s">
        <v>79</v>
      </c>
      <c r="AL47" s="54"/>
      <c r="AM47" s="54" t="s">
        <v>79</v>
      </c>
      <c r="AN47" s="54" t="s">
        <v>79</v>
      </c>
      <c r="AO47" s="54" t="s">
        <v>79</v>
      </c>
      <c r="AP47" s="54" t="s">
        <v>79</v>
      </c>
      <c r="AQ47" s="54" t="s">
        <v>79</v>
      </c>
      <c r="AR47" s="54" t="s">
        <v>79</v>
      </c>
      <c r="AS47" s="54" t="s">
        <v>79</v>
      </c>
      <c r="AT47" s="54" t="s">
        <v>79</v>
      </c>
      <c r="AU47" s="54" t="s">
        <v>79</v>
      </c>
      <c r="AV47" s="54"/>
      <c r="AW47" s="54" t="s">
        <v>79</v>
      </c>
      <c r="AX47" s="54"/>
      <c r="AY47" s="54"/>
      <c r="AZ47" s="54"/>
      <c r="BA47" s="54"/>
      <c r="BB47" s="54"/>
      <c r="BC47" s="54"/>
      <c r="BD47" s="54"/>
      <c r="BE47" s="54"/>
      <c r="BF47" s="54"/>
      <c r="BG47" s="54"/>
      <c r="BH47" s="54"/>
      <c r="BI47" s="54"/>
      <c r="BJ47" s="54"/>
      <c r="BK47" s="54"/>
      <c r="BL47" s="54"/>
      <c r="BM47" s="54"/>
      <c r="BN47" s="54"/>
      <c r="BO47" s="54"/>
      <c r="BP47" s="54"/>
      <c r="BQ47" s="54" t="s">
        <v>79</v>
      </c>
      <c r="BR47" s="54" t="s">
        <v>79</v>
      </c>
      <c r="BS47" s="54" t="s">
        <v>79</v>
      </c>
      <c r="BT47" s="54"/>
      <c r="BU47" s="54" t="s">
        <v>79</v>
      </c>
      <c r="BV47" s="54" t="s">
        <v>79</v>
      </c>
      <c r="BW47" s="54"/>
      <c r="BX47" s="54" t="s">
        <v>79</v>
      </c>
      <c r="BY47" s="54" t="s">
        <v>79</v>
      </c>
      <c r="BZ47" s="54" t="s">
        <v>79</v>
      </c>
      <c r="CA47" s="54" t="s">
        <v>79</v>
      </c>
      <c r="CB47" s="54" t="s">
        <v>79</v>
      </c>
      <c r="CC47" s="54" t="s">
        <v>79</v>
      </c>
      <c r="CD47" s="54" t="s">
        <v>79</v>
      </c>
      <c r="CE47" s="54" t="s">
        <v>79</v>
      </c>
      <c r="CF47" s="54"/>
      <c r="CG47" s="54" t="s">
        <v>79</v>
      </c>
      <c r="CH47" s="54" t="s">
        <v>79</v>
      </c>
      <c r="CI47" s="54" t="s">
        <v>79</v>
      </c>
      <c r="CJ47" s="54" t="s">
        <v>79</v>
      </c>
      <c r="CK47" s="54" t="s">
        <v>79</v>
      </c>
      <c r="CL47" s="54" t="s">
        <v>79</v>
      </c>
      <c r="CM47" s="54"/>
      <c r="CN47" s="54"/>
      <c r="CO47" s="54" t="s">
        <v>79</v>
      </c>
      <c r="CP47" s="54" t="s">
        <v>79</v>
      </c>
      <c r="CQ47" s="54" t="s">
        <v>79</v>
      </c>
      <c r="CR47" s="54" t="s">
        <v>79</v>
      </c>
      <c r="CS47" s="54"/>
      <c r="CT47" s="54"/>
      <c r="CU47" s="54" t="s">
        <v>79</v>
      </c>
      <c r="CV47" s="54"/>
      <c r="CW47" s="54" t="s">
        <v>79</v>
      </c>
      <c r="CX47" s="54" t="s">
        <v>79</v>
      </c>
      <c r="CY47" s="54" t="s">
        <v>79</v>
      </c>
      <c r="CZ47" s="54"/>
      <c r="DA47" s="54" t="s">
        <v>79</v>
      </c>
      <c r="DB47" s="54" t="s">
        <v>79</v>
      </c>
      <c r="DC47" s="54"/>
      <c r="DD47" s="54"/>
      <c r="DE47" s="54"/>
      <c r="DF47" s="54" t="s">
        <v>79</v>
      </c>
      <c r="DG47" s="54" t="s">
        <v>79</v>
      </c>
      <c r="DH47" s="54" t="s">
        <v>79</v>
      </c>
      <c r="DI47" s="54" t="s">
        <v>79</v>
      </c>
      <c r="DJ47" s="54" t="s">
        <v>79</v>
      </c>
      <c r="DK47" s="54"/>
      <c r="DL47" s="54"/>
      <c r="DM47" s="54"/>
      <c r="DN47" s="54" t="s">
        <v>79</v>
      </c>
      <c r="DO47" s="54" t="s">
        <v>79</v>
      </c>
      <c r="DP47" s="54" t="s">
        <v>79</v>
      </c>
      <c r="DQ47" s="54"/>
      <c r="DR47" s="54" t="s">
        <v>79</v>
      </c>
      <c r="DS47" s="54" t="s">
        <v>79</v>
      </c>
      <c r="DT47" s="54" t="s">
        <v>79</v>
      </c>
      <c r="DU47" s="54" t="s">
        <v>79</v>
      </c>
      <c r="DV47" s="54" t="s">
        <v>79</v>
      </c>
      <c r="DW47" s="54"/>
      <c r="DX47" s="54"/>
      <c r="DY47" s="54"/>
      <c r="DZ47" s="54"/>
      <c r="EA47" s="54"/>
      <c r="EB47" s="54"/>
      <c r="EC47" s="54"/>
      <c r="ED47" s="54"/>
      <c r="EE47" s="54" t="s">
        <v>79</v>
      </c>
      <c r="EF47" s="54" t="s">
        <v>79</v>
      </c>
      <c r="EG47" s="54" t="s">
        <v>79</v>
      </c>
      <c r="EH47" s="54" t="s">
        <v>79</v>
      </c>
      <c r="EI47" s="54" t="s">
        <v>79</v>
      </c>
      <c r="EJ47" s="54" t="s">
        <v>79</v>
      </c>
      <c r="EK47" s="54" t="s">
        <v>79</v>
      </c>
      <c r="EL47" s="54" t="s">
        <v>79</v>
      </c>
      <c r="EM47" s="54" t="s">
        <v>79</v>
      </c>
      <c r="EN47" s="54" t="s">
        <v>79</v>
      </c>
      <c r="EO47" s="54" t="s">
        <v>79</v>
      </c>
      <c r="EP47" s="54"/>
      <c r="EQ47" s="54" t="s">
        <v>79</v>
      </c>
      <c r="ER47" s="54" t="s">
        <v>79</v>
      </c>
      <c r="ES47" s="54" t="s">
        <v>79</v>
      </c>
      <c r="ET47" s="54" t="s">
        <v>79</v>
      </c>
      <c r="EU47" s="54" t="s">
        <v>79</v>
      </c>
      <c r="EV47" s="54" t="s">
        <v>79</v>
      </c>
      <c r="EW47" s="54" t="s">
        <v>79</v>
      </c>
      <c r="EX47" s="54" t="s">
        <v>79</v>
      </c>
      <c r="EY47" s="54" t="s">
        <v>79</v>
      </c>
      <c r="EZ47" s="54" t="s">
        <v>79</v>
      </c>
      <c r="FA47" s="54" t="s">
        <v>79</v>
      </c>
      <c r="FB47" s="54" t="s">
        <v>79</v>
      </c>
      <c r="FC47" s="54" t="s">
        <v>79</v>
      </c>
      <c r="FD47" s="54" t="s">
        <v>79</v>
      </c>
      <c r="FE47" s="54" t="s">
        <v>79</v>
      </c>
      <c r="FF47" s="54" t="s">
        <v>79</v>
      </c>
      <c r="FG47" s="54" t="s">
        <v>79</v>
      </c>
      <c r="FH47" s="54" t="s">
        <v>79</v>
      </c>
      <c r="FI47" s="54" t="s">
        <v>79</v>
      </c>
      <c r="FJ47" s="54" t="s">
        <v>79</v>
      </c>
      <c r="FK47" s="54" t="s">
        <v>79</v>
      </c>
      <c r="FL47" s="54" t="s">
        <v>79</v>
      </c>
      <c r="FM47" s="54" t="s">
        <v>79</v>
      </c>
      <c r="FN47" s="54" t="s">
        <v>79</v>
      </c>
      <c r="FO47" s="54" t="s">
        <v>79</v>
      </c>
      <c r="FP47" s="54" t="s">
        <v>79</v>
      </c>
      <c r="FQ47" s="54" t="s">
        <v>79</v>
      </c>
      <c r="FR47" s="54" t="s">
        <v>79</v>
      </c>
      <c r="FS47" s="54" t="s">
        <v>79</v>
      </c>
      <c r="FT47" s="54" t="s">
        <v>79</v>
      </c>
      <c r="FU47" s="54" t="s">
        <v>79</v>
      </c>
      <c r="FV47" s="54" t="s">
        <v>79</v>
      </c>
      <c r="FW47" s="54" t="s">
        <v>79</v>
      </c>
      <c r="FX47" s="54" t="s">
        <v>79</v>
      </c>
      <c r="FY47" s="54" t="s">
        <v>79</v>
      </c>
      <c r="FZ47" s="54" t="s">
        <v>79</v>
      </c>
      <c r="GA47" s="54" t="s">
        <v>79</v>
      </c>
      <c r="GB47" s="54" t="s">
        <v>79</v>
      </c>
      <c r="GC47" s="54" t="s">
        <v>79</v>
      </c>
      <c r="GD47" s="54" t="s">
        <v>79</v>
      </c>
      <c r="GE47" s="54" t="s">
        <v>79</v>
      </c>
      <c r="GF47" s="54" t="s">
        <v>79</v>
      </c>
      <c r="GG47" s="54" t="s">
        <v>79</v>
      </c>
      <c r="GH47" s="54" t="s">
        <v>79</v>
      </c>
      <c r="GI47" s="54" t="s">
        <v>79</v>
      </c>
      <c r="GJ47" s="54" t="s">
        <v>79</v>
      </c>
      <c r="GK47" s="54" t="s">
        <v>79</v>
      </c>
      <c r="GL47" s="54" t="s">
        <v>79</v>
      </c>
      <c r="GM47" s="54" t="s">
        <v>79</v>
      </c>
      <c r="GN47" s="54" t="s">
        <v>79</v>
      </c>
      <c r="GO47" s="54" t="s">
        <v>79</v>
      </c>
      <c r="GP47" s="54" t="s">
        <v>79</v>
      </c>
      <c r="GQ47" s="54" t="s">
        <v>79</v>
      </c>
      <c r="GR47" s="54" t="s">
        <v>79</v>
      </c>
      <c r="GS47" s="54" t="s">
        <v>79</v>
      </c>
      <c r="GT47" s="54" t="s">
        <v>79</v>
      </c>
      <c r="GU47" s="54" t="s">
        <v>79</v>
      </c>
      <c r="GV47" s="54" t="s">
        <v>79</v>
      </c>
    </row>
    <row r="48">
      <c r="A48" s="58" t="s">
        <v>56</v>
      </c>
      <c r="B48" s="58" t="s">
        <v>56</v>
      </c>
      <c r="D48" s="53" t="str">
        <f t="array" ref="D48:E48">IF('Wątki'!B49=$A$1,INDIRECT("Klasa"),IF('Wątki'!B49=$A$2,INDIRECT("Grupa"),IF('Wątki'!B49=$A$3,INDIRECT("Postać"),"Nie")))</f>
        <v>Tak</v>
      </c>
      <c r="E48" s="53" t="s">
        <v>191</v>
      </c>
      <c r="F48" s="54" t="s">
        <v>80</v>
      </c>
      <c r="G48" s="54" t="s">
        <v>80</v>
      </c>
      <c r="H48" s="54" t="s">
        <v>80</v>
      </c>
      <c r="I48" s="54"/>
      <c r="J48" s="54" t="s">
        <v>80</v>
      </c>
      <c r="K48" s="54" t="s">
        <v>80</v>
      </c>
      <c r="L48" s="54" t="s">
        <v>80</v>
      </c>
      <c r="M48" s="54" t="s">
        <v>80</v>
      </c>
      <c r="N48" s="54" t="s">
        <v>80</v>
      </c>
      <c r="O48" s="54" t="s">
        <v>80</v>
      </c>
      <c r="P48" s="54" t="s">
        <v>80</v>
      </c>
      <c r="Q48" s="54" t="s">
        <v>80</v>
      </c>
      <c r="R48" s="54" t="s">
        <v>80</v>
      </c>
      <c r="S48" s="54" t="s">
        <v>80</v>
      </c>
      <c r="T48" s="54" t="s">
        <v>80</v>
      </c>
      <c r="U48" s="54" t="s">
        <v>80</v>
      </c>
      <c r="V48" s="54"/>
      <c r="W48" s="54" t="s">
        <v>80</v>
      </c>
      <c r="X48" s="54" t="s">
        <v>80</v>
      </c>
      <c r="Y48" s="54" t="s">
        <v>80</v>
      </c>
      <c r="Z48" s="54" t="s">
        <v>80</v>
      </c>
      <c r="AA48" s="54"/>
      <c r="AB48" s="54" t="s">
        <v>80</v>
      </c>
      <c r="AC48" s="54" t="s">
        <v>80</v>
      </c>
      <c r="AD48" s="54" t="s">
        <v>80</v>
      </c>
      <c r="AE48" s="54" t="s">
        <v>80</v>
      </c>
      <c r="AF48" s="54" t="s">
        <v>80</v>
      </c>
      <c r="AG48" s="54" t="s">
        <v>80</v>
      </c>
      <c r="AH48" s="54" t="s">
        <v>80</v>
      </c>
      <c r="AI48" s="54" t="s">
        <v>80</v>
      </c>
      <c r="AJ48" s="54" t="s">
        <v>80</v>
      </c>
      <c r="AK48" s="54" t="s">
        <v>80</v>
      </c>
      <c r="AL48" s="54"/>
      <c r="AM48" s="54" t="s">
        <v>80</v>
      </c>
      <c r="AN48" s="54" t="s">
        <v>80</v>
      </c>
      <c r="AO48" s="54" t="s">
        <v>80</v>
      </c>
      <c r="AP48" s="54" t="s">
        <v>80</v>
      </c>
      <c r="AQ48" s="54" t="s">
        <v>80</v>
      </c>
      <c r="AR48" s="54" t="s">
        <v>80</v>
      </c>
      <c r="AS48" s="54" t="s">
        <v>80</v>
      </c>
      <c r="AT48" s="54" t="s">
        <v>80</v>
      </c>
      <c r="AU48" s="54" t="s">
        <v>80</v>
      </c>
      <c r="AV48" s="54"/>
      <c r="AW48" s="54" t="s">
        <v>80</v>
      </c>
      <c r="AX48" s="54"/>
      <c r="AY48" s="54"/>
      <c r="AZ48" s="54"/>
      <c r="BA48" s="54"/>
      <c r="BB48" s="54"/>
      <c r="BC48" s="54"/>
      <c r="BD48" s="54"/>
      <c r="BE48" s="54"/>
      <c r="BF48" s="54"/>
      <c r="BG48" s="54"/>
      <c r="BH48" s="54"/>
      <c r="BI48" s="54"/>
      <c r="BJ48" s="54"/>
      <c r="BK48" s="54"/>
      <c r="BL48" s="54"/>
      <c r="BM48" s="54"/>
      <c r="BN48" s="54"/>
      <c r="BO48" s="54"/>
      <c r="BP48" s="54"/>
      <c r="BQ48" s="54" t="s">
        <v>80</v>
      </c>
      <c r="BR48" s="54" t="s">
        <v>80</v>
      </c>
      <c r="BS48" s="54" t="s">
        <v>80</v>
      </c>
      <c r="BT48" s="54"/>
      <c r="BU48" s="54" t="s">
        <v>80</v>
      </c>
      <c r="BV48" s="54" t="s">
        <v>80</v>
      </c>
      <c r="BW48" s="54"/>
      <c r="BX48" s="54" t="s">
        <v>80</v>
      </c>
      <c r="BY48" s="54" t="s">
        <v>80</v>
      </c>
      <c r="BZ48" s="54" t="s">
        <v>80</v>
      </c>
      <c r="CA48" s="54" t="s">
        <v>80</v>
      </c>
      <c r="CB48" s="54" t="s">
        <v>80</v>
      </c>
      <c r="CC48" s="54" t="s">
        <v>80</v>
      </c>
      <c r="CD48" s="54" t="s">
        <v>80</v>
      </c>
      <c r="CE48" s="54" t="s">
        <v>80</v>
      </c>
      <c r="CF48" s="54"/>
      <c r="CG48" s="54" t="s">
        <v>80</v>
      </c>
      <c r="CH48" s="54" t="s">
        <v>80</v>
      </c>
      <c r="CI48" s="54" t="s">
        <v>80</v>
      </c>
      <c r="CJ48" s="54" t="s">
        <v>80</v>
      </c>
      <c r="CK48" s="54" t="s">
        <v>80</v>
      </c>
      <c r="CL48" s="54" t="s">
        <v>80</v>
      </c>
      <c r="CM48" s="54"/>
      <c r="CN48" s="54"/>
      <c r="CO48" s="54" t="s">
        <v>80</v>
      </c>
      <c r="CP48" s="54" t="s">
        <v>80</v>
      </c>
      <c r="CQ48" s="54" t="s">
        <v>80</v>
      </c>
      <c r="CR48" s="54" t="s">
        <v>80</v>
      </c>
      <c r="CS48" s="54"/>
      <c r="CT48" s="54"/>
      <c r="CU48" s="54" t="s">
        <v>80</v>
      </c>
      <c r="CV48" s="54"/>
      <c r="CW48" s="54" t="s">
        <v>80</v>
      </c>
      <c r="CX48" s="54" t="s">
        <v>80</v>
      </c>
      <c r="CY48" s="54" t="s">
        <v>80</v>
      </c>
      <c r="CZ48" s="54"/>
      <c r="DA48" s="54" t="s">
        <v>80</v>
      </c>
      <c r="DB48" s="54" t="s">
        <v>80</v>
      </c>
      <c r="DC48" s="54"/>
      <c r="DD48" s="54"/>
      <c r="DE48" s="54"/>
      <c r="DF48" s="54" t="s">
        <v>80</v>
      </c>
      <c r="DG48" s="54" t="s">
        <v>80</v>
      </c>
      <c r="DH48" s="54" t="s">
        <v>80</v>
      </c>
      <c r="DI48" s="54" t="s">
        <v>80</v>
      </c>
      <c r="DJ48" s="54" t="s">
        <v>80</v>
      </c>
      <c r="DK48" s="54"/>
      <c r="DL48" s="54"/>
      <c r="DM48" s="54"/>
      <c r="DN48" s="54" t="s">
        <v>80</v>
      </c>
      <c r="DO48" s="54" t="s">
        <v>80</v>
      </c>
      <c r="DP48" s="54" t="s">
        <v>80</v>
      </c>
      <c r="DQ48" s="54"/>
      <c r="DR48" s="54" t="s">
        <v>80</v>
      </c>
      <c r="DS48" s="54" t="s">
        <v>80</v>
      </c>
      <c r="DT48" s="54" t="s">
        <v>80</v>
      </c>
      <c r="DU48" s="54" t="s">
        <v>80</v>
      </c>
      <c r="DV48" s="54" t="s">
        <v>80</v>
      </c>
      <c r="DW48" s="54"/>
      <c r="DX48" s="54"/>
      <c r="DY48" s="54"/>
      <c r="DZ48" s="54"/>
      <c r="EA48" s="54"/>
      <c r="EB48" s="54"/>
      <c r="EC48" s="54"/>
      <c r="ED48" s="54"/>
      <c r="EE48" s="54" t="s">
        <v>80</v>
      </c>
      <c r="EF48" s="54" t="s">
        <v>80</v>
      </c>
      <c r="EG48" s="54" t="s">
        <v>80</v>
      </c>
      <c r="EH48" s="54" t="s">
        <v>80</v>
      </c>
      <c r="EI48" s="54" t="s">
        <v>80</v>
      </c>
      <c r="EJ48" s="54" t="s">
        <v>80</v>
      </c>
      <c r="EK48" s="54" t="s">
        <v>80</v>
      </c>
      <c r="EL48" s="54" t="s">
        <v>80</v>
      </c>
      <c r="EM48" s="54" t="s">
        <v>80</v>
      </c>
      <c r="EN48" s="54" t="s">
        <v>80</v>
      </c>
      <c r="EO48" s="54" t="s">
        <v>80</v>
      </c>
      <c r="EP48" s="54"/>
      <c r="EQ48" s="54" t="s">
        <v>80</v>
      </c>
      <c r="ER48" s="54" t="s">
        <v>80</v>
      </c>
      <c r="ES48" s="54" t="s">
        <v>80</v>
      </c>
      <c r="ET48" s="54" t="s">
        <v>80</v>
      </c>
      <c r="EU48" s="54" t="s">
        <v>80</v>
      </c>
      <c r="EV48" s="54" t="s">
        <v>80</v>
      </c>
      <c r="EW48" s="54" t="s">
        <v>80</v>
      </c>
      <c r="EX48" s="54" t="s">
        <v>80</v>
      </c>
      <c r="EY48" s="54" t="s">
        <v>80</v>
      </c>
      <c r="EZ48" s="54" t="s">
        <v>80</v>
      </c>
      <c r="FA48" s="54" t="s">
        <v>80</v>
      </c>
      <c r="FB48" s="54" t="s">
        <v>80</v>
      </c>
      <c r="FC48" s="54" t="s">
        <v>80</v>
      </c>
      <c r="FD48" s="54" t="s">
        <v>80</v>
      </c>
      <c r="FE48" s="54" t="s">
        <v>80</v>
      </c>
      <c r="FF48" s="54" t="s">
        <v>80</v>
      </c>
      <c r="FG48" s="54" t="s">
        <v>80</v>
      </c>
      <c r="FH48" s="54" t="s">
        <v>80</v>
      </c>
      <c r="FI48" s="54" t="s">
        <v>80</v>
      </c>
      <c r="FJ48" s="54" t="s">
        <v>80</v>
      </c>
      <c r="FK48" s="54" t="s">
        <v>80</v>
      </c>
      <c r="FL48" s="54" t="s">
        <v>80</v>
      </c>
      <c r="FM48" s="54" t="s">
        <v>80</v>
      </c>
      <c r="FN48" s="54" t="s">
        <v>80</v>
      </c>
      <c r="FO48" s="54" t="s">
        <v>80</v>
      </c>
      <c r="FP48" s="54" t="s">
        <v>80</v>
      </c>
      <c r="FQ48" s="54" t="s">
        <v>80</v>
      </c>
      <c r="FR48" s="54" t="s">
        <v>80</v>
      </c>
      <c r="FS48" s="54" t="s">
        <v>80</v>
      </c>
      <c r="FT48" s="54" t="s">
        <v>80</v>
      </c>
      <c r="FU48" s="54" t="s">
        <v>80</v>
      </c>
      <c r="FV48" s="54" t="s">
        <v>80</v>
      </c>
      <c r="FW48" s="54" t="s">
        <v>80</v>
      </c>
      <c r="FX48" s="54" t="s">
        <v>80</v>
      </c>
      <c r="FY48" s="54" t="s">
        <v>80</v>
      </c>
      <c r="FZ48" s="54" t="s">
        <v>80</v>
      </c>
      <c r="GA48" s="54" t="s">
        <v>80</v>
      </c>
      <c r="GB48" s="54" t="s">
        <v>80</v>
      </c>
      <c r="GC48" s="54" t="s">
        <v>80</v>
      </c>
      <c r="GD48" s="54" t="s">
        <v>80</v>
      </c>
      <c r="GE48" s="54" t="s">
        <v>80</v>
      </c>
      <c r="GF48" s="54" t="s">
        <v>80</v>
      </c>
      <c r="GG48" s="54" t="s">
        <v>80</v>
      </c>
      <c r="GH48" s="54" t="s">
        <v>80</v>
      </c>
      <c r="GI48" s="54" t="s">
        <v>80</v>
      </c>
      <c r="GJ48" s="54" t="s">
        <v>80</v>
      </c>
      <c r="GK48" s="54" t="s">
        <v>80</v>
      </c>
      <c r="GL48" s="54" t="s">
        <v>80</v>
      </c>
      <c r="GM48" s="54" t="s">
        <v>80</v>
      </c>
      <c r="GN48" s="54" t="s">
        <v>80</v>
      </c>
      <c r="GO48" s="54" t="s">
        <v>80</v>
      </c>
      <c r="GP48" s="54" t="s">
        <v>80</v>
      </c>
      <c r="GQ48" s="54" t="s">
        <v>80</v>
      </c>
      <c r="GR48" s="54" t="s">
        <v>80</v>
      </c>
      <c r="GS48" s="54" t="s">
        <v>80</v>
      </c>
      <c r="GT48" s="54" t="s">
        <v>80</v>
      </c>
      <c r="GU48" s="54" t="s">
        <v>80</v>
      </c>
      <c r="GV48" s="54" t="s">
        <v>80</v>
      </c>
    </row>
    <row r="49">
      <c r="A49" s="58" t="s">
        <v>700</v>
      </c>
      <c r="B49" s="58" t="s">
        <v>700</v>
      </c>
      <c r="D49" s="53" t="str">
        <f t="array" ref="D49:E49">IF('Wątki'!B50=$A$1,INDIRECT("Klasa"),IF('Wątki'!B50=$A$2,INDIRECT("Grupa"),IF('Wątki'!B50=$A$3,INDIRECT("Postać"),"Nie")))</f>
        <v>Tak</v>
      </c>
      <c r="E49" s="53" t="s">
        <v>191</v>
      </c>
      <c r="F49" s="54" t="s">
        <v>81</v>
      </c>
      <c r="G49" s="54" t="s">
        <v>81</v>
      </c>
      <c r="H49" s="54" t="s">
        <v>81</v>
      </c>
      <c r="I49" s="54"/>
      <c r="J49" s="54" t="s">
        <v>81</v>
      </c>
      <c r="K49" s="54" t="s">
        <v>81</v>
      </c>
      <c r="L49" s="54" t="s">
        <v>81</v>
      </c>
      <c r="M49" s="54" t="s">
        <v>81</v>
      </c>
      <c r="N49" s="54" t="s">
        <v>81</v>
      </c>
      <c r="O49" s="54" t="s">
        <v>81</v>
      </c>
      <c r="P49" s="54" t="s">
        <v>81</v>
      </c>
      <c r="Q49" s="54" t="s">
        <v>81</v>
      </c>
      <c r="R49" s="54" t="s">
        <v>81</v>
      </c>
      <c r="S49" s="54" t="s">
        <v>81</v>
      </c>
      <c r="T49" s="54" t="s">
        <v>81</v>
      </c>
      <c r="U49" s="54" t="s">
        <v>81</v>
      </c>
      <c r="V49" s="54"/>
      <c r="W49" s="54" t="s">
        <v>81</v>
      </c>
      <c r="X49" s="54" t="s">
        <v>81</v>
      </c>
      <c r="Y49" s="54" t="s">
        <v>81</v>
      </c>
      <c r="Z49" s="54" t="s">
        <v>81</v>
      </c>
      <c r="AA49" s="54"/>
      <c r="AB49" s="54" t="s">
        <v>81</v>
      </c>
      <c r="AC49" s="54" t="s">
        <v>81</v>
      </c>
      <c r="AD49" s="54" t="s">
        <v>81</v>
      </c>
      <c r="AE49" s="54" t="s">
        <v>81</v>
      </c>
      <c r="AF49" s="54" t="s">
        <v>81</v>
      </c>
      <c r="AG49" s="54" t="s">
        <v>81</v>
      </c>
      <c r="AH49" s="54" t="s">
        <v>81</v>
      </c>
      <c r="AI49" s="54" t="s">
        <v>81</v>
      </c>
      <c r="AJ49" s="54" t="s">
        <v>81</v>
      </c>
      <c r="AK49" s="54" t="s">
        <v>81</v>
      </c>
      <c r="AL49" s="54"/>
      <c r="AM49" s="54" t="s">
        <v>81</v>
      </c>
      <c r="AN49" s="54" t="s">
        <v>81</v>
      </c>
      <c r="AO49" s="54" t="s">
        <v>81</v>
      </c>
      <c r="AP49" s="54" t="s">
        <v>81</v>
      </c>
      <c r="AQ49" s="54" t="s">
        <v>81</v>
      </c>
      <c r="AR49" s="54" t="s">
        <v>81</v>
      </c>
      <c r="AS49" s="54" t="s">
        <v>81</v>
      </c>
      <c r="AT49" s="54" t="s">
        <v>81</v>
      </c>
      <c r="AU49" s="54" t="s">
        <v>81</v>
      </c>
      <c r="AV49" s="54"/>
      <c r="AW49" s="54" t="s">
        <v>81</v>
      </c>
      <c r="AX49" s="54"/>
      <c r="AY49" s="54"/>
      <c r="AZ49" s="54"/>
      <c r="BA49" s="54"/>
      <c r="BB49" s="54"/>
      <c r="BC49" s="54"/>
      <c r="BD49" s="54"/>
      <c r="BE49" s="54"/>
      <c r="BF49" s="54"/>
      <c r="BG49" s="54"/>
      <c r="BH49" s="54"/>
      <c r="BI49" s="54"/>
      <c r="BJ49" s="54"/>
      <c r="BK49" s="54"/>
      <c r="BL49" s="54"/>
      <c r="BM49" s="54"/>
      <c r="BN49" s="54"/>
      <c r="BO49" s="54"/>
      <c r="BP49" s="54"/>
      <c r="BQ49" s="54" t="s">
        <v>81</v>
      </c>
      <c r="BR49" s="54" t="s">
        <v>81</v>
      </c>
      <c r="BS49" s="54" t="s">
        <v>81</v>
      </c>
      <c r="BT49" s="54"/>
      <c r="BU49" s="54" t="s">
        <v>81</v>
      </c>
      <c r="BV49" s="54" t="s">
        <v>81</v>
      </c>
      <c r="BW49" s="54"/>
      <c r="BX49" s="54" t="s">
        <v>81</v>
      </c>
      <c r="BY49" s="54" t="s">
        <v>81</v>
      </c>
      <c r="BZ49" s="54" t="s">
        <v>81</v>
      </c>
      <c r="CA49" s="54" t="s">
        <v>81</v>
      </c>
      <c r="CB49" s="54" t="s">
        <v>81</v>
      </c>
      <c r="CC49" s="54" t="s">
        <v>81</v>
      </c>
      <c r="CD49" s="54" t="s">
        <v>81</v>
      </c>
      <c r="CE49" s="54" t="s">
        <v>81</v>
      </c>
      <c r="CF49" s="54"/>
      <c r="CG49" s="54" t="s">
        <v>81</v>
      </c>
      <c r="CH49" s="54" t="s">
        <v>81</v>
      </c>
      <c r="CI49" s="54" t="s">
        <v>81</v>
      </c>
      <c r="CJ49" s="54" t="s">
        <v>81</v>
      </c>
      <c r="CK49" s="54" t="s">
        <v>81</v>
      </c>
      <c r="CL49" s="54" t="s">
        <v>81</v>
      </c>
      <c r="CM49" s="54"/>
      <c r="CN49" s="54"/>
      <c r="CO49" s="54" t="s">
        <v>81</v>
      </c>
      <c r="CP49" s="54" t="s">
        <v>81</v>
      </c>
      <c r="CQ49" s="54" t="s">
        <v>81</v>
      </c>
      <c r="CR49" s="54" t="s">
        <v>81</v>
      </c>
      <c r="CS49" s="54"/>
      <c r="CT49" s="54"/>
      <c r="CU49" s="54" t="s">
        <v>81</v>
      </c>
      <c r="CV49" s="54"/>
      <c r="CW49" s="54" t="s">
        <v>81</v>
      </c>
      <c r="CX49" s="54" t="s">
        <v>81</v>
      </c>
      <c r="CY49" s="54" t="s">
        <v>81</v>
      </c>
      <c r="CZ49" s="54"/>
      <c r="DA49" s="54" t="s">
        <v>81</v>
      </c>
      <c r="DB49" s="54" t="s">
        <v>81</v>
      </c>
      <c r="DC49" s="54"/>
      <c r="DD49" s="54"/>
      <c r="DE49" s="54"/>
      <c r="DF49" s="54" t="s">
        <v>81</v>
      </c>
      <c r="DG49" s="54" t="s">
        <v>81</v>
      </c>
      <c r="DH49" s="54" t="s">
        <v>81</v>
      </c>
      <c r="DI49" s="54" t="s">
        <v>81</v>
      </c>
      <c r="DJ49" s="54" t="s">
        <v>81</v>
      </c>
      <c r="DK49" s="54"/>
      <c r="DL49" s="54"/>
      <c r="DM49" s="54"/>
      <c r="DN49" s="54" t="s">
        <v>81</v>
      </c>
      <c r="DO49" s="54" t="s">
        <v>81</v>
      </c>
      <c r="DP49" s="54" t="s">
        <v>81</v>
      </c>
      <c r="DQ49" s="54"/>
      <c r="DR49" s="54" t="s">
        <v>81</v>
      </c>
      <c r="DS49" s="54" t="s">
        <v>81</v>
      </c>
      <c r="DT49" s="54" t="s">
        <v>81</v>
      </c>
      <c r="DU49" s="54" t="s">
        <v>81</v>
      </c>
      <c r="DV49" s="54" t="s">
        <v>81</v>
      </c>
      <c r="DW49" s="54"/>
      <c r="DX49" s="54"/>
      <c r="DY49" s="54"/>
      <c r="DZ49" s="54"/>
      <c r="EA49" s="54"/>
      <c r="EB49" s="54"/>
      <c r="EC49" s="54"/>
      <c r="ED49" s="54"/>
      <c r="EE49" s="54" t="s">
        <v>81</v>
      </c>
      <c r="EF49" s="54" t="s">
        <v>81</v>
      </c>
      <c r="EG49" s="54" t="s">
        <v>81</v>
      </c>
      <c r="EH49" s="54" t="s">
        <v>81</v>
      </c>
      <c r="EI49" s="54" t="s">
        <v>81</v>
      </c>
      <c r="EJ49" s="54" t="s">
        <v>81</v>
      </c>
      <c r="EK49" s="54" t="s">
        <v>81</v>
      </c>
      <c r="EL49" s="54" t="s">
        <v>81</v>
      </c>
      <c r="EM49" s="54" t="s">
        <v>81</v>
      </c>
      <c r="EN49" s="54" t="s">
        <v>81</v>
      </c>
      <c r="EO49" s="54" t="s">
        <v>81</v>
      </c>
      <c r="EP49" s="54"/>
      <c r="EQ49" s="54" t="s">
        <v>81</v>
      </c>
      <c r="ER49" s="54" t="s">
        <v>81</v>
      </c>
      <c r="ES49" s="54" t="s">
        <v>81</v>
      </c>
      <c r="ET49" s="54" t="s">
        <v>81</v>
      </c>
      <c r="EU49" s="54" t="s">
        <v>81</v>
      </c>
      <c r="EV49" s="54" t="s">
        <v>81</v>
      </c>
      <c r="EW49" s="54" t="s">
        <v>81</v>
      </c>
      <c r="EX49" s="54" t="s">
        <v>81</v>
      </c>
      <c r="EY49" s="54" t="s">
        <v>81</v>
      </c>
      <c r="EZ49" s="54" t="s">
        <v>81</v>
      </c>
      <c r="FA49" s="54" t="s">
        <v>81</v>
      </c>
      <c r="FB49" s="54" t="s">
        <v>81</v>
      </c>
      <c r="FC49" s="54" t="s">
        <v>81</v>
      </c>
      <c r="FD49" s="54" t="s">
        <v>81</v>
      </c>
      <c r="FE49" s="54" t="s">
        <v>81</v>
      </c>
      <c r="FF49" s="54" t="s">
        <v>81</v>
      </c>
      <c r="FG49" s="54" t="s">
        <v>81</v>
      </c>
      <c r="FH49" s="54" t="s">
        <v>81</v>
      </c>
      <c r="FI49" s="54" t="s">
        <v>81</v>
      </c>
      <c r="FJ49" s="54" t="s">
        <v>81</v>
      </c>
      <c r="FK49" s="54" t="s">
        <v>81</v>
      </c>
      <c r="FL49" s="54" t="s">
        <v>81</v>
      </c>
      <c r="FM49" s="54" t="s">
        <v>81</v>
      </c>
      <c r="FN49" s="54" t="s">
        <v>81</v>
      </c>
      <c r="FO49" s="54" t="s">
        <v>81</v>
      </c>
      <c r="FP49" s="54" t="s">
        <v>81</v>
      </c>
      <c r="FQ49" s="54" t="s">
        <v>81</v>
      </c>
      <c r="FR49" s="54" t="s">
        <v>81</v>
      </c>
      <c r="FS49" s="54" t="s">
        <v>81</v>
      </c>
      <c r="FT49" s="54" t="s">
        <v>81</v>
      </c>
      <c r="FU49" s="54" t="s">
        <v>81</v>
      </c>
      <c r="FV49" s="54" t="s">
        <v>81</v>
      </c>
      <c r="FW49" s="54" t="s">
        <v>81</v>
      </c>
      <c r="FX49" s="54" t="s">
        <v>81</v>
      </c>
      <c r="FY49" s="54" t="s">
        <v>81</v>
      </c>
      <c r="FZ49" s="54" t="s">
        <v>81</v>
      </c>
      <c r="GA49" s="54" t="s">
        <v>81</v>
      </c>
      <c r="GB49" s="54" t="s">
        <v>81</v>
      </c>
      <c r="GC49" s="54" t="s">
        <v>81</v>
      </c>
      <c r="GD49" s="54" t="s">
        <v>81</v>
      </c>
      <c r="GE49" s="54" t="s">
        <v>81</v>
      </c>
      <c r="GF49" s="54" t="s">
        <v>81</v>
      </c>
      <c r="GG49" s="54" t="s">
        <v>81</v>
      </c>
      <c r="GH49" s="54" t="s">
        <v>81</v>
      </c>
      <c r="GI49" s="54" t="s">
        <v>81</v>
      </c>
      <c r="GJ49" s="54" t="s">
        <v>81</v>
      </c>
      <c r="GK49" s="54" t="s">
        <v>81</v>
      </c>
      <c r="GL49" s="54" t="s">
        <v>81</v>
      </c>
      <c r="GM49" s="54" t="s">
        <v>81</v>
      </c>
      <c r="GN49" s="54" t="s">
        <v>81</v>
      </c>
      <c r="GO49" s="54" t="s">
        <v>81</v>
      </c>
      <c r="GP49" s="54" t="s">
        <v>81</v>
      </c>
      <c r="GQ49" s="54" t="s">
        <v>81</v>
      </c>
      <c r="GR49" s="54" t="s">
        <v>81</v>
      </c>
      <c r="GS49" s="54" t="s">
        <v>81</v>
      </c>
      <c r="GT49" s="54" t="s">
        <v>81</v>
      </c>
      <c r="GU49" s="54" t="s">
        <v>81</v>
      </c>
      <c r="GV49" s="54" t="s">
        <v>81</v>
      </c>
    </row>
    <row r="50">
      <c r="D50" s="53" t="str">
        <f t="array" ref="D50:E50">IF('Wątki'!B51=$A$1,INDIRECT("Klasa"),IF('Wątki'!B51=$A$2,INDIRECT("Grupa"),IF('Wątki'!B51=$A$3,INDIRECT("Postać"),"Nie")))</f>
        <v>Tak</v>
      </c>
      <c r="E50" s="53" t="s">
        <v>191</v>
      </c>
      <c r="F50" s="54" t="s">
        <v>82</v>
      </c>
      <c r="G50" s="54" t="s">
        <v>82</v>
      </c>
      <c r="H50" s="54" t="s">
        <v>82</v>
      </c>
      <c r="I50" s="54"/>
      <c r="J50" s="54" t="s">
        <v>82</v>
      </c>
      <c r="K50" s="54" t="s">
        <v>82</v>
      </c>
      <c r="L50" s="54" t="s">
        <v>82</v>
      </c>
      <c r="M50" s="54" t="s">
        <v>82</v>
      </c>
      <c r="N50" s="54" t="s">
        <v>82</v>
      </c>
      <c r="O50" s="54" t="s">
        <v>82</v>
      </c>
      <c r="P50" s="54" t="s">
        <v>82</v>
      </c>
      <c r="Q50" s="54" t="s">
        <v>82</v>
      </c>
      <c r="R50" s="54" t="s">
        <v>82</v>
      </c>
      <c r="S50" s="54" t="s">
        <v>82</v>
      </c>
      <c r="T50" s="54" t="s">
        <v>82</v>
      </c>
      <c r="U50" s="54" t="s">
        <v>82</v>
      </c>
      <c r="V50" s="54"/>
      <c r="W50" s="54" t="s">
        <v>82</v>
      </c>
      <c r="X50" s="54" t="s">
        <v>82</v>
      </c>
      <c r="Y50" s="54" t="s">
        <v>82</v>
      </c>
      <c r="Z50" s="54" t="s">
        <v>82</v>
      </c>
      <c r="AA50" s="54"/>
      <c r="AB50" s="54" t="s">
        <v>82</v>
      </c>
      <c r="AC50" s="54" t="s">
        <v>82</v>
      </c>
      <c r="AD50" s="54" t="s">
        <v>82</v>
      </c>
      <c r="AE50" s="54" t="s">
        <v>82</v>
      </c>
      <c r="AF50" s="54" t="s">
        <v>82</v>
      </c>
      <c r="AG50" s="54" t="s">
        <v>82</v>
      </c>
      <c r="AH50" s="54" t="s">
        <v>82</v>
      </c>
      <c r="AI50" s="54" t="s">
        <v>82</v>
      </c>
      <c r="AJ50" s="54" t="s">
        <v>82</v>
      </c>
      <c r="AK50" s="54" t="s">
        <v>82</v>
      </c>
      <c r="AL50" s="54"/>
      <c r="AM50" s="54" t="s">
        <v>82</v>
      </c>
      <c r="AN50" s="54" t="s">
        <v>82</v>
      </c>
      <c r="AO50" s="54" t="s">
        <v>82</v>
      </c>
      <c r="AP50" s="54" t="s">
        <v>82</v>
      </c>
      <c r="AQ50" s="54" t="s">
        <v>82</v>
      </c>
      <c r="AR50" s="54" t="s">
        <v>82</v>
      </c>
      <c r="AS50" s="54" t="s">
        <v>82</v>
      </c>
      <c r="AT50" s="54" t="s">
        <v>82</v>
      </c>
      <c r="AU50" s="54" t="s">
        <v>82</v>
      </c>
      <c r="AV50" s="54"/>
      <c r="AW50" s="54" t="s">
        <v>82</v>
      </c>
      <c r="AX50" s="54"/>
      <c r="AY50" s="54"/>
      <c r="AZ50" s="54"/>
      <c r="BA50" s="54"/>
      <c r="BB50" s="54"/>
      <c r="BC50" s="54"/>
      <c r="BD50" s="54"/>
      <c r="BE50" s="54"/>
      <c r="BF50" s="54"/>
      <c r="BG50" s="54"/>
      <c r="BH50" s="54"/>
      <c r="BI50" s="54"/>
      <c r="BJ50" s="54"/>
      <c r="BK50" s="54"/>
      <c r="BL50" s="54"/>
      <c r="BM50" s="54"/>
      <c r="BN50" s="54"/>
      <c r="BO50" s="54"/>
      <c r="BP50" s="54"/>
      <c r="BQ50" s="54" t="s">
        <v>82</v>
      </c>
      <c r="BR50" s="54" t="s">
        <v>82</v>
      </c>
      <c r="BS50" s="54" t="s">
        <v>82</v>
      </c>
      <c r="BT50" s="54"/>
      <c r="BU50" s="54" t="s">
        <v>82</v>
      </c>
      <c r="BV50" s="54" t="s">
        <v>82</v>
      </c>
      <c r="BW50" s="54"/>
      <c r="BX50" s="54" t="s">
        <v>82</v>
      </c>
      <c r="BY50" s="54" t="s">
        <v>82</v>
      </c>
      <c r="BZ50" s="54" t="s">
        <v>82</v>
      </c>
      <c r="CA50" s="54" t="s">
        <v>82</v>
      </c>
      <c r="CB50" s="54" t="s">
        <v>82</v>
      </c>
      <c r="CC50" s="54" t="s">
        <v>82</v>
      </c>
      <c r="CD50" s="54" t="s">
        <v>82</v>
      </c>
      <c r="CE50" s="54" t="s">
        <v>82</v>
      </c>
      <c r="CF50" s="54"/>
      <c r="CG50" s="54" t="s">
        <v>82</v>
      </c>
      <c r="CH50" s="54" t="s">
        <v>82</v>
      </c>
      <c r="CI50" s="54" t="s">
        <v>82</v>
      </c>
      <c r="CJ50" s="54" t="s">
        <v>82</v>
      </c>
      <c r="CK50" s="54" t="s">
        <v>82</v>
      </c>
      <c r="CL50" s="54" t="s">
        <v>82</v>
      </c>
      <c r="CM50" s="54"/>
      <c r="CN50" s="54"/>
      <c r="CO50" s="54" t="s">
        <v>82</v>
      </c>
      <c r="CP50" s="54" t="s">
        <v>82</v>
      </c>
      <c r="CQ50" s="54" t="s">
        <v>82</v>
      </c>
      <c r="CR50" s="54" t="s">
        <v>82</v>
      </c>
      <c r="CS50" s="54"/>
      <c r="CT50" s="54"/>
      <c r="CU50" s="54" t="s">
        <v>82</v>
      </c>
      <c r="CV50" s="54"/>
      <c r="CW50" s="54" t="s">
        <v>82</v>
      </c>
      <c r="CX50" s="54" t="s">
        <v>82</v>
      </c>
      <c r="CY50" s="54" t="s">
        <v>82</v>
      </c>
      <c r="CZ50" s="54"/>
      <c r="DA50" s="54" t="s">
        <v>82</v>
      </c>
      <c r="DB50" s="54" t="s">
        <v>82</v>
      </c>
      <c r="DC50" s="54"/>
      <c r="DD50" s="54"/>
      <c r="DE50" s="54"/>
      <c r="DF50" s="54" t="s">
        <v>82</v>
      </c>
      <c r="DG50" s="54" t="s">
        <v>82</v>
      </c>
      <c r="DH50" s="54" t="s">
        <v>82</v>
      </c>
      <c r="DI50" s="54" t="s">
        <v>82</v>
      </c>
      <c r="DJ50" s="54" t="s">
        <v>82</v>
      </c>
      <c r="DK50" s="54"/>
      <c r="DL50" s="54"/>
      <c r="DM50" s="54"/>
      <c r="DN50" s="54" t="s">
        <v>82</v>
      </c>
      <c r="DO50" s="54" t="s">
        <v>82</v>
      </c>
      <c r="DP50" s="54" t="s">
        <v>82</v>
      </c>
      <c r="DQ50" s="54"/>
      <c r="DR50" s="54" t="s">
        <v>82</v>
      </c>
      <c r="DS50" s="54" t="s">
        <v>82</v>
      </c>
      <c r="DT50" s="54" t="s">
        <v>82</v>
      </c>
      <c r="DU50" s="54" t="s">
        <v>82</v>
      </c>
      <c r="DV50" s="54" t="s">
        <v>82</v>
      </c>
      <c r="DW50" s="54"/>
      <c r="DX50" s="54"/>
      <c r="DY50" s="54"/>
      <c r="DZ50" s="54"/>
      <c r="EA50" s="54"/>
      <c r="EB50" s="54"/>
      <c r="EC50" s="54"/>
      <c r="ED50" s="54"/>
      <c r="EE50" s="54" t="s">
        <v>82</v>
      </c>
      <c r="EF50" s="54" t="s">
        <v>82</v>
      </c>
      <c r="EG50" s="54" t="s">
        <v>82</v>
      </c>
      <c r="EH50" s="54" t="s">
        <v>82</v>
      </c>
      <c r="EI50" s="54" t="s">
        <v>82</v>
      </c>
      <c r="EJ50" s="54" t="s">
        <v>82</v>
      </c>
      <c r="EK50" s="54" t="s">
        <v>82</v>
      </c>
      <c r="EL50" s="54" t="s">
        <v>82</v>
      </c>
      <c r="EM50" s="54" t="s">
        <v>82</v>
      </c>
      <c r="EN50" s="54" t="s">
        <v>82</v>
      </c>
      <c r="EO50" s="54" t="s">
        <v>82</v>
      </c>
      <c r="EP50" s="54"/>
      <c r="EQ50" s="54" t="s">
        <v>82</v>
      </c>
      <c r="ER50" s="54" t="s">
        <v>82</v>
      </c>
      <c r="ES50" s="54" t="s">
        <v>82</v>
      </c>
      <c r="ET50" s="54" t="s">
        <v>82</v>
      </c>
      <c r="EU50" s="54" t="s">
        <v>82</v>
      </c>
      <c r="EV50" s="54" t="s">
        <v>82</v>
      </c>
      <c r="EW50" s="54" t="s">
        <v>82</v>
      </c>
      <c r="EX50" s="54" t="s">
        <v>82</v>
      </c>
      <c r="EY50" s="54" t="s">
        <v>82</v>
      </c>
      <c r="EZ50" s="54" t="s">
        <v>82</v>
      </c>
      <c r="FA50" s="54" t="s">
        <v>82</v>
      </c>
      <c r="FB50" s="54" t="s">
        <v>82</v>
      </c>
      <c r="FC50" s="54" t="s">
        <v>82</v>
      </c>
      <c r="FD50" s="54" t="s">
        <v>82</v>
      </c>
      <c r="FE50" s="54" t="s">
        <v>82</v>
      </c>
      <c r="FF50" s="54" t="s">
        <v>82</v>
      </c>
      <c r="FG50" s="54" t="s">
        <v>82</v>
      </c>
      <c r="FH50" s="54" t="s">
        <v>82</v>
      </c>
      <c r="FI50" s="54" t="s">
        <v>82</v>
      </c>
      <c r="FJ50" s="54" t="s">
        <v>82</v>
      </c>
      <c r="FK50" s="54" t="s">
        <v>82</v>
      </c>
      <c r="FL50" s="54" t="s">
        <v>82</v>
      </c>
      <c r="FM50" s="54" t="s">
        <v>82</v>
      </c>
      <c r="FN50" s="54" t="s">
        <v>82</v>
      </c>
      <c r="FO50" s="54" t="s">
        <v>82</v>
      </c>
      <c r="FP50" s="54" t="s">
        <v>82</v>
      </c>
      <c r="FQ50" s="54" t="s">
        <v>82</v>
      </c>
      <c r="FR50" s="54" t="s">
        <v>82</v>
      </c>
      <c r="FS50" s="54" t="s">
        <v>82</v>
      </c>
      <c r="FT50" s="54" t="s">
        <v>82</v>
      </c>
      <c r="FU50" s="54" t="s">
        <v>82</v>
      </c>
      <c r="FV50" s="54" t="s">
        <v>82</v>
      </c>
      <c r="FW50" s="54" t="s">
        <v>82</v>
      </c>
      <c r="FX50" s="54" t="s">
        <v>82</v>
      </c>
      <c r="FY50" s="54" t="s">
        <v>82</v>
      </c>
      <c r="FZ50" s="54" t="s">
        <v>82</v>
      </c>
      <c r="GA50" s="54" t="s">
        <v>82</v>
      </c>
      <c r="GB50" s="54" t="s">
        <v>82</v>
      </c>
      <c r="GC50" s="54" t="s">
        <v>82</v>
      </c>
      <c r="GD50" s="54" t="s">
        <v>82</v>
      </c>
      <c r="GE50" s="54" t="s">
        <v>82</v>
      </c>
      <c r="GF50" s="54" t="s">
        <v>82</v>
      </c>
      <c r="GG50" s="54" t="s">
        <v>82</v>
      </c>
      <c r="GH50" s="54" t="s">
        <v>82</v>
      </c>
      <c r="GI50" s="54" t="s">
        <v>82</v>
      </c>
      <c r="GJ50" s="54" t="s">
        <v>82</v>
      </c>
      <c r="GK50" s="54" t="s">
        <v>82</v>
      </c>
      <c r="GL50" s="54" t="s">
        <v>82</v>
      </c>
      <c r="GM50" s="54" t="s">
        <v>82</v>
      </c>
      <c r="GN50" s="54" t="s">
        <v>82</v>
      </c>
      <c r="GO50" s="54" t="s">
        <v>82</v>
      </c>
      <c r="GP50" s="54" t="s">
        <v>82</v>
      </c>
      <c r="GQ50" s="54" t="s">
        <v>82</v>
      </c>
      <c r="GR50" s="54" t="s">
        <v>82</v>
      </c>
      <c r="GS50" s="54" t="s">
        <v>82</v>
      </c>
      <c r="GT50" s="54" t="s">
        <v>82</v>
      </c>
      <c r="GU50" s="54" t="s">
        <v>82</v>
      </c>
      <c r="GV50" s="54" t="s">
        <v>82</v>
      </c>
    </row>
    <row r="51">
      <c r="D51" s="53" t="str">
        <f t="array" ref="D51:E51">IF('Wątki'!B52=$A$1,INDIRECT("Klasa"),IF('Wątki'!B52=$A$2,INDIRECT("Grupa"),IF('Wątki'!B52=$A$3,INDIRECT("Postać"),"Nie")))</f>
        <v>Tak</v>
      </c>
      <c r="E51" s="53" t="s">
        <v>191</v>
      </c>
      <c r="F51" s="54" t="s">
        <v>83</v>
      </c>
      <c r="G51" s="54" t="s">
        <v>83</v>
      </c>
      <c r="H51" s="54" t="s">
        <v>83</v>
      </c>
      <c r="I51" s="54"/>
      <c r="J51" s="54" t="s">
        <v>83</v>
      </c>
      <c r="K51" s="54" t="s">
        <v>83</v>
      </c>
      <c r="L51" s="54" t="s">
        <v>83</v>
      </c>
      <c r="M51" s="54" t="s">
        <v>83</v>
      </c>
      <c r="N51" s="54" t="s">
        <v>83</v>
      </c>
      <c r="O51" s="54" t="s">
        <v>83</v>
      </c>
      <c r="P51" s="54" t="s">
        <v>83</v>
      </c>
      <c r="Q51" s="54" t="s">
        <v>83</v>
      </c>
      <c r="R51" s="54" t="s">
        <v>83</v>
      </c>
      <c r="S51" s="54" t="s">
        <v>83</v>
      </c>
      <c r="T51" s="54" t="s">
        <v>83</v>
      </c>
      <c r="U51" s="54" t="s">
        <v>83</v>
      </c>
      <c r="V51" s="54"/>
      <c r="W51" s="54" t="s">
        <v>83</v>
      </c>
      <c r="X51" s="54" t="s">
        <v>83</v>
      </c>
      <c r="Y51" s="54" t="s">
        <v>83</v>
      </c>
      <c r="Z51" s="54" t="s">
        <v>83</v>
      </c>
      <c r="AA51" s="54"/>
      <c r="AB51" s="54" t="s">
        <v>83</v>
      </c>
      <c r="AC51" s="54" t="s">
        <v>83</v>
      </c>
      <c r="AD51" s="54" t="s">
        <v>83</v>
      </c>
      <c r="AE51" s="54" t="s">
        <v>83</v>
      </c>
      <c r="AF51" s="54" t="s">
        <v>83</v>
      </c>
      <c r="AG51" s="54" t="s">
        <v>83</v>
      </c>
      <c r="AH51" s="54" t="s">
        <v>83</v>
      </c>
      <c r="AI51" s="54" t="s">
        <v>83</v>
      </c>
      <c r="AJ51" s="54" t="s">
        <v>83</v>
      </c>
      <c r="AK51" s="54" t="s">
        <v>83</v>
      </c>
      <c r="AL51" s="54"/>
      <c r="AM51" s="54" t="s">
        <v>83</v>
      </c>
      <c r="AN51" s="54" t="s">
        <v>83</v>
      </c>
      <c r="AO51" s="54" t="s">
        <v>83</v>
      </c>
      <c r="AP51" s="54" t="s">
        <v>83</v>
      </c>
      <c r="AQ51" s="54" t="s">
        <v>83</v>
      </c>
      <c r="AR51" s="54" t="s">
        <v>83</v>
      </c>
      <c r="AS51" s="54" t="s">
        <v>83</v>
      </c>
      <c r="AT51" s="54" t="s">
        <v>83</v>
      </c>
      <c r="AU51" s="54" t="s">
        <v>83</v>
      </c>
      <c r="AV51" s="54"/>
      <c r="AW51" s="54" t="s">
        <v>83</v>
      </c>
      <c r="AX51" s="54"/>
      <c r="AY51" s="54"/>
      <c r="AZ51" s="54"/>
      <c r="BA51" s="54"/>
      <c r="BB51" s="54"/>
      <c r="BC51" s="54"/>
      <c r="BD51" s="54"/>
      <c r="BE51" s="54"/>
      <c r="BF51" s="54"/>
      <c r="BG51" s="54"/>
      <c r="BH51" s="54"/>
      <c r="BI51" s="54"/>
      <c r="BJ51" s="54"/>
      <c r="BK51" s="54"/>
      <c r="BL51" s="54"/>
      <c r="BM51" s="54"/>
      <c r="BN51" s="54"/>
      <c r="BO51" s="54"/>
      <c r="BP51" s="54"/>
      <c r="BQ51" s="54" t="s">
        <v>83</v>
      </c>
      <c r="BR51" s="54" t="s">
        <v>83</v>
      </c>
      <c r="BS51" s="54" t="s">
        <v>83</v>
      </c>
      <c r="BT51" s="54"/>
      <c r="BU51" s="54" t="s">
        <v>83</v>
      </c>
      <c r="BV51" s="54" t="s">
        <v>83</v>
      </c>
      <c r="BW51" s="54"/>
      <c r="BX51" s="54" t="s">
        <v>83</v>
      </c>
      <c r="BY51" s="54" t="s">
        <v>83</v>
      </c>
      <c r="BZ51" s="54" t="s">
        <v>83</v>
      </c>
      <c r="CA51" s="54" t="s">
        <v>83</v>
      </c>
      <c r="CB51" s="54" t="s">
        <v>83</v>
      </c>
      <c r="CC51" s="54" t="s">
        <v>83</v>
      </c>
      <c r="CD51" s="54" t="s">
        <v>83</v>
      </c>
      <c r="CE51" s="54" t="s">
        <v>83</v>
      </c>
      <c r="CF51" s="54"/>
      <c r="CG51" s="54" t="s">
        <v>83</v>
      </c>
      <c r="CH51" s="54" t="s">
        <v>83</v>
      </c>
      <c r="CI51" s="54" t="s">
        <v>83</v>
      </c>
      <c r="CJ51" s="54" t="s">
        <v>83</v>
      </c>
      <c r="CK51" s="54" t="s">
        <v>83</v>
      </c>
      <c r="CL51" s="54" t="s">
        <v>83</v>
      </c>
      <c r="CM51" s="54"/>
      <c r="CN51" s="54"/>
      <c r="CO51" s="54" t="s">
        <v>83</v>
      </c>
      <c r="CP51" s="54" t="s">
        <v>83</v>
      </c>
      <c r="CQ51" s="54" t="s">
        <v>83</v>
      </c>
      <c r="CR51" s="54" t="s">
        <v>83</v>
      </c>
      <c r="CS51" s="54"/>
      <c r="CT51" s="54"/>
      <c r="CU51" s="54" t="s">
        <v>83</v>
      </c>
      <c r="CV51" s="54"/>
      <c r="CW51" s="54" t="s">
        <v>83</v>
      </c>
      <c r="CX51" s="54" t="s">
        <v>83</v>
      </c>
      <c r="CY51" s="54" t="s">
        <v>83</v>
      </c>
      <c r="CZ51" s="54"/>
      <c r="DA51" s="54" t="s">
        <v>83</v>
      </c>
      <c r="DB51" s="54" t="s">
        <v>83</v>
      </c>
      <c r="DC51" s="54"/>
      <c r="DD51" s="54"/>
      <c r="DE51" s="54"/>
      <c r="DF51" s="54" t="s">
        <v>83</v>
      </c>
      <c r="DG51" s="54" t="s">
        <v>83</v>
      </c>
      <c r="DH51" s="54" t="s">
        <v>83</v>
      </c>
      <c r="DI51" s="54" t="s">
        <v>83</v>
      </c>
      <c r="DJ51" s="54" t="s">
        <v>83</v>
      </c>
      <c r="DK51" s="54"/>
      <c r="DL51" s="54"/>
      <c r="DM51" s="54"/>
      <c r="DN51" s="54" t="s">
        <v>83</v>
      </c>
      <c r="DO51" s="54" t="s">
        <v>83</v>
      </c>
      <c r="DP51" s="54" t="s">
        <v>83</v>
      </c>
      <c r="DQ51" s="54"/>
      <c r="DR51" s="54" t="s">
        <v>83</v>
      </c>
      <c r="DS51" s="54" t="s">
        <v>83</v>
      </c>
      <c r="DT51" s="54" t="s">
        <v>83</v>
      </c>
      <c r="DU51" s="54" t="s">
        <v>83</v>
      </c>
      <c r="DV51" s="54" t="s">
        <v>83</v>
      </c>
      <c r="DW51" s="54"/>
      <c r="DX51" s="54"/>
      <c r="DY51" s="54"/>
      <c r="DZ51" s="54"/>
      <c r="EA51" s="54"/>
      <c r="EB51" s="54"/>
      <c r="EC51" s="54"/>
      <c r="ED51" s="54"/>
      <c r="EE51" s="54" t="s">
        <v>83</v>
      </c>
      <c r="EF51" s="54" t="s">
        <v>83</v>
      </c>
      <c r="EG51" s="54" t="s">
        <v>83</v>
      </c>
      <c r="EH51" s="54" t="s">
        <v>83</v>
      </c>
      <c r="EI51" s="54" t="s">
        <v>83</v>
      </c>
      <c r="EJ51" s="54" t="s">
        <v>83</v>
      </c>
      <c r="EK51" s="54" t="s">
        <v>83</v>
      </c>
      <c r="EL51" s="54" t="s">
        <v>83</v>
      </c>
      <c r="EM51" s="54" t="s">
        <v>83</v>
      </c>
      <c r="EN51" s="54" t="s">
        <v>83</v>
      </c>
      <c r="EO51" s="54" t="s">
        <v>83</v>
      </c>
      <c r="EP51" s="54"/>
      <c r="EQ51" s="54" t="s">
        <v>83</v>
      </c>
      <c r="ER51" s="54" t="s">
        <v>83</v>
      </c>
      <c r="ES51" s="54" t="s">
        <v>83</v>
      </c>
      <c r="ET51" s="54" t="s">
        <v>83</v>
      </c>
      <c r="EU51" s="54" t="s">
        <v>83</v>
      </c>
      <c r="EV51" s="54" t="s">
        <v>83</v>
      </c>
      <c r="EW51" s="54" t="s">
        <v>83</v>
      </c>
      <c r="EX51" s="54" t="s">
        <v>83</v>
      </c>
      <c r="EY51" s="54" t="s">
        <v>83</v>
      </c>
      <c r="EZ51" s="54" t="s">
        <v>83</v>
      </c>
      <c r="FA51" s="54" t="s">
        <v>83</v>
      </c>
      <c r="FB51" s="54" t="s">
        <v>83</v>
      </c>
      <c r="FC51" s="54" t="s">
        <v>83</v>
      </c>
      <c r="FD51" s="54" t="s">
        <v>83</v>
      </c>
      <c r="FE51" s="54" t="s">
        <v>83</v>
      </c>
      <c r="FF51" s="54" t="s">
        <v>83</v>
      </c>
      <c r="FG51" s="54" t="s">
        <v>83</v>
      </c>
      <c r="FH51" s="54" t="s">
        <v>83</v>
      </c>
      <c r="FI51" s="54" t="s">
        <v>83</v>
      </c>
      <c r="FJ51" s="54" t="s">
        <v>83</v>
      </c>
      <c r="FK51" s="54" t="s">
        <v>83</v>
      </c>
      <c r="FL51" s="54" t="s">
        <v>83</v>
      </c>
      <c r="FM51" s="54" t="s">
        <v>83</v>
      </c>
      <c r="FN51" s="54" t="s">
        <v>83</v>
      </c>
      <c r="FO51" s="54" t="s">
        <v>83</v>
      </c>
      <c r="FP51" s="54" t="s">
        <v>83</v>
      </c>
      <c r="FQ51" s="54" t="s">
        <v>83</v>
      </c>
      <c r="FR51" s="54" t="s">
        <v>83</v>
      </c>
      <c r="FS51" s="54" t="s">
        <v>83</v>
      </c>
      <c r="FT51" s="54" t="s">
        <v>83</v>
      </c>
      <c r="FU51" s="54" t="s">
        <v>83</v>
      </c>
      <c r="FV51" s="54" t="s">
        <v>83</v>
      </c>
      <c r="FW51" s="54" t="s">
        <v>83</v>
      </c>
      <c r="FX51" s="54" t="s">
        <v>83</v>
      </c>
      <c r="FY51" s="54" t="s">
        <v>83</v>
      </c>
      <c r="FZ51" s="54" t="s">
        <v>83</v>
      </c>
      <c r="GA51" s="54" t="s">
        <v>83</v>
      </c>
      <c r="GB51" s="54" t="s">
        <v>83</v>
      </c>
      <c r="GC51" s="54" t="s">
        <v>83</v>
      </c>
      <c r="GD51" s="54" t="s">
        <v>83</v>
      </c>
      <c r="GE51" s="54" t="s">
        <v>83</v>
      </c>
      <c r="GF51" s="54" t="s">
        <v>83</v>
      </c>
      <c r="GG51" s="54" t="s">
        <v>83</v>
      </c>
      <c r="GH51" s="54" t="s">
        <v>83</v>
      </c>
      <c r="GI51" s="54" t="s">
        <v>83</v>
      </c>
      <c r="GJ51" s="54" t="s">
        <v>83</v>
      </c>
      <c r="GK51" s="54" t="s">
        <v>83</v>
      </c>
      <c r="GL51" s="54" t="s">
        <v>83</v>
      </c>
      <c r="GM51" s="54" t="s">
        <v>83</v>
      </c>
      <c r="GN51" s="54" t="s">
        <v>83</v>
      </c>
      <c r="GO51" s="54" t="s">
        <v>83</v>
      </c>
      <c r="GP51" s="54" t="s">
        <v>83</v>
      </c>
      <c r="GQ51" s="54" t="s">
        <v>83</v>
      </c>
      <c r="GR51" s="54" t="s">
        <v>83</v>
      </c>
      <c r="GS51" s="54" t="s">
        <v>83</v>
      </c>
      <c r="GT51" s="54" t="s">
        <v>83</v>
      </c>
      <c r="GU51" s="54" t="s">
        <v>83</v>
      </c>
      <c r="GV51" s="54" t="s">
        <v>83</v>
      </c>
    </row>
    <row r="52">
      <c r="D52" s="53" t="str">
        <f t="array" ref="D52:E52">IF('Wątki'!B53=$A$1,INDIRECT("Klasa"),IF('Wątki'!B53=$A$2,INDIRECT("Grupa"),IF('Wątki'!B53=$A$3,INDIRECT("Postać"),"Nie")))</f>
        <v>Tak</v>
      </c>
      <c r="E52" s="53" t="s">
        <v>191</v>
      </c>
      <c r="F52" s="54" t="s">
        <v>84</v>
      </c>
      <c r="G52" s="54" t="s">
        <v>84</v>
      </c>
      <c r="H52" s="54" t="s">
        <v>84</v>
      </c>
      <c r="I52" s="54"/>
      <c r="J52" s="54" t="s">
        <v>84</v>
      </c>
      <c r="K52" s="54" t="s">
        <v>84</v>
      </c>
      <c r="L52" s="54" t="s">
        <v>84</v>
      </c>
      <c r="M52" s="54" t="s">
        <v>84</v>
      </c>
      <c r="N52" s="54" t="s">
        <v>84</v>
      </c>
      <c r="O52" s="54" t="s">
        <v>84</v>
      </c>
      <c r="P52" s="54" t="s">
        <v>84</v>
      </c>
      <c r="Q52" s="54" t="s">
        <v>84</v>
      </c>
      <c r="R52" s="54" t="s">
        <v>84</v>
      </c>
      <c r="S52" s="54" t="s">
        <v>84</v>
      </c>
      <c r="T52" s="54" t="s">
        <v>84</v>
      </c>
      <c r="U52" s="54" t="s">
        <v>84</v>
      </c>
      <c r="V52" s="54"/>
      <c r="W52" s="54" t="s">
        <v>84</v>
      </c>
      <c r="X52" s="54" t="s">
        <v>84</v>
      </c>
      <c r="Y52" s="54" t="s">
        <v>84</v>
      </c>
      <c r="Z52" s="54" t="s">
        <v>84</v>
      </c>
      <c r="AA52" s="54"/>
      <c r="AB52" s="54" t="s">
        <v>84</v>
      </c>
      <c r="AC52" s="54" t="s">
        <v>84</v>
      </c>
      <c r="AD52" s="54" t="s">
        <v>84</v>
      </c>
      <c r="AE52" s="54" t="s">
        <v>84</v>
      </c>
      <c r="AF52" s="54" t="s">
        <v>84</v>
      </c>
      <c r="AG52" s="54" t="s">
        <v>84</v>
      </c>
      <c r="AH52" s="54" t="s">
        <v>84</v>
      </c>
      <c r="AI52" s="54" t="s">
        <v>84</v>
      </c>
      <c r="AJ52" s="54" t="s">
        <v>84</v>
      </c>
      <c r="AK52" s="54" t="s">
        <v>84</v>
      </c>
      <c r="AL52" s="54"/>
      <c r="AM52" s="54" t="s">
        <v>84</v>
      </c>
      <c r="AN52" s="54" t="s">
        <v>84</v>
      </c>
      <c r="AO52" s="54" t="s">
        <v>84</v>
      </c>
      <c r="AP52" s="54" t="s">
        <v>84</v>
      </c>
      <c r="AQ52" s="54" t="s">
        <v>84</v>
      </c>
      <c r="AR52" s="54" t="s">
        <v>84</v>
      </c>
      <c r="AS52" s="54" t="s">
        <v>84</v>
      </c>
      <c r="AT52" s="54" t="s">
        <v>84</v>
      </c>
      <c r="AU52" s="54" t="s">
        <v>84</v>
      </c>
      <c r="AV52" s="54"/>
      <c r="AW52" s="54" t="s">
        <v>84</v>
      </c>
      <c r="AX52" s="54"/>
      <c r="AY52" s="54"/>
      <c r="AZ52" s="54"/>
      <c r="BA52" s="54"/>
      <c r="BB52" s="54"/>
      <c r="BC52" s="54"/>
      <c r="BD52" s="54"/>
      <c r="BE52" s="54"/>
      <c r="BF52" s="54"/>
      <c r="BG52" s="54"/>
      <c r="BH52" s="54"/>
      <c r="BI52" s="54"/>
      <c r="BJ52" s="54"/>
      <c r="BK52" s="54"/>
      <c r="BL52" s="54"/>
      <c r="BM52" s="54"/>
      <c r="BN52" s="54"/>
      <c r="BO52" s="54"/>
      <c r="BP52" s="54"/>
      <c r="BQ52" s="54" t="s">
        <v>84</v>
      </c>
      <c r="BR52" s="54" t="s">
        <v>84</v>
      </c>
      <c r="BS52" s="54" t="s">
        <v>84</v>
      </c>
      <c r="BT52" s="54"/>
      <c r="BU52" s="54" t="s">
        <v>84</v>
      </c>
      <c r="BV52" s="54" t="s">
        <v>84</v>
      </c>
      <c r="BW52" s="54"/>
      <c r="BX52" s="54" t="s">
        <v>84</v>
      </c>
      <c r="BY52" s="54" t="s">
        <v>84</v>
      </c>
      <c r="BZ52" s="54" t="s">
        <v>84</v>
      </c>
      <c r="CA52" s="54" t="s">
        <v>84</v>
      </c>
      <c r="CB52" s="54" t="s">
        <v>84</v>
      </c>
      <c r="CC52" s="54" t="s">
        <v>84</v>
      </c>
      <c r="CD52" s="54" t="s">
        <v>84</v>
      </c>
      <c r="CE52" s="54" t="s">
        <v>84</v>
      </c>
      <c r="CF52" s="54"/>
      <c r="CG52" s="54" t="s">
        <v>84</v>
      </c>
      <c r="CH52" s="54" t="s">
        <v>84</v>
      </c>
      <c r="CI52" s="54" t="s">
        <v>84</v>
      </c>
      <c r="CJ52" s="54" t="s">
        <v>84</v>
      </c>
      <c r="CK52" s="54" t="s">
        <v>84</v>
      </c>
      <c r="CL52" s="54" t="s">
        <v>84</v>
      </c>
      <c r="CM52" s="54"/>
      <c r="CN52" s="54"/>
      <c r="CO52" s="54" t="s">
        <v>84</v>
      </c>
      <c r="CP52" s="54" t="s">
        <v>84</v>
      </c>
      <c r="CQ52" s="54" t="s">
        <v>84</v>
      </c>
      <c r="CR52" s="54" t="s">
        <v>84</v>
      </c>
      <c r="CS52" s="54"/>
      <c r="CT52" s="54"/>
      <c r="CU52" s="54" t="s">
        <v>84</v>
      </c>
      <c r="CV52" s="54"/>
      <c r="CW52" s="54" t="s">
        <v>84</v>
      </c>
      <c r="CX52" s="54" t="s">
        <v>84</v>
      </c>
      <c r="CY52" s="54" t="s">
        <v>84</v>
      </c>
      <c r="CZ52" s="54"/>
      <c r="DA52" s="54" t="s">
        <v>84</v>
      </c>
      <c r="DB52" s="54" t="s">
        <v>84</v>
      </c>
      <c r="DC52" s="54"/>
      <c r="DD52" s="54"/>
      <c r="DE52" s="54"/>
      <c r="DF52" s="54" t="s">
        <v>84</v>
      </c>
      <c r="DG52" s="54" t="s">
        <v>84</v>
      </c>
      <c r="DH52" s="54" t="s">
        <v>84</v>
      </c>
      <c r="DI52" s="54" t="s">
        <v>84</v>
      </c>
      <c r="DJ52" s="54" t="s">
        <v>84</v>
      </c>
      <c r="DK52" s="54"/>
      <c r="DL52" s="54"/>
      <c r="DM52" s="54"/>
      <c r="DN52" s="54" t="s">
        <v>84</v>
      </c>
      <c r="DO52" s="54" t="s">
        <v>84</v>
      </c>
      <c r="DP52" s="54" t="s">
        <v>84</v>
      </c>
      <c r="DQ52" s="54"/>
      <c r="DR52" s="54" t="s">
        <v>84</v>
      </c>
      <c r="DS52" s="54" t="s">
        <v>84</v>
      </c>
      <c r="DT52" s="54" t="s">
        <v>84</v>
      </c>
      <c r="DU52" s="54" t="s">
        <v>84</v>
      </c>
      <c r="DV52" s="54" t="s">
        <v>84</v>
      </c>
      <c r="DW52" s="54"/>
      <c r="DX52" s="54"/>
      <c r="DY52" s="54"/>
      <c r="DZ52" s="54"/>
      <c r="EA52" s="54"/>
      <c r="EB52" s="54"/>
      <c r="EC52" s="54"/>
      <c r="ED52" s="54"/>
      <c r="EE52" s="54" t="s">
        <v>84</v>
      </c>
      <c r="EF52" s="54" t="s">
        <v>84</v>
      </c>
      <c r="EG52" s="54" t="s">
        <v>84</v>
      </c>
      <c r="EH52" s="54" t="s">
        <v>84</v>
      </c>
      <c r="EI52" s="54" t="s">
        <v>84</v>
      </c>
      <c r="EJ52" s="54" t="s">
        <v>84</v>
      </c>
      <c r="EK52" s="54" t="s">
        <v>84</v>
      </c>
      <c r="EL52" s="54" t="s">
        <v>84</v>
      </c>
      <c r="EM52" s="54" t="s">
        <v>84</v>
      </c>
      <c r="EN52" s="54" t="s">
        <v>84</v>
      </c>
      <c r="EO52" s="54" t="s">
        <v>84</v>
      </c>
      <c r="EP52" s="54"/>
      <c r="EQ52" s="54" t="s">
        <v>84</v>
      </c>
      <c r="ER52" s="54" t="s">
        <v>84</v>
      </c>
      <c r="ES52" s="54" t="s">
        <v>84</v>
      </c>
      <c r="ET52" s="54" t="s">
        <v>84</v>
      </c>
      <c r="EU52" s="54" t="s">
        <v>84</v>
      </c>
      <c r="EV52" s="54" t="s">
        <v>84</v>
      </c>
      <c r="EW52" s="54" t="s">
        <v>84</v>
      </c>
      <c r="EX52" s="54" t="s">
        <v>84</v>
      </c>
      <c r="EY52" s="54" t="s">
        <v>84</v>
      </c>
      <c r="EZ52" s="54" t="s">
        <v>84</v>
      </c>
      <c r="FA52" s="54" t="s">
        <v>84</v>
      </c>
      <c r="FB52" s="54" t="s">
        <v>84</v>
      </c>
      <c r="FC52" s="54" t="s">
        <v>84</v>
      </c>
      <c r="FD52" s="54" t="s">
        <v>84</v>
      </c>
      <c r="FE52" s="54" t="s">
        <v>84</v>
      </c>
      <c r="FF52" s="54" t="s">
        <v>84</v>
      </c>
      <c r="FG52" s="54" t="s">
        <v>84</v>
      </c>
      <c r="FH52" s="54" t="s">
        <v>84</v>
      </c>
      <c r="FI52" s="54" t="s">
        <v>84</v>
      </c>
      <c r="FJ52" s="54" t="s">
        <v>84</v>
      </c>
      <c r="FK52" s="54" t="s">
        <v>84</v>
      </c>
      <c r="FL52" s="54" t="s">
        <v>84</v>
      </c>
      <c r="FM52" s="54" t="s">
        <v>84</v>
      </c>
      <c r="FN52" s="54" t="s">
        <v>84</v>
      </c>
      <c r="FO52" s="54" t="s">
        <v>84</v>
      </c>
      <c r="FP52" s="54" t="s">
        <v>84</v>
      </c>
      <c r="FQ52" s="54" t="s">
        <v>84</v>
      </c>
      <c r="FR52" s="54" t="s">
        <v>84</v>
      </c>
      <c r="FS52" s="54" t="s">
        <v>84</v>
      </c>
      <c r="FT52" s="54" t="s">
        <v>84</v>
      </c>
      <c r="FU52" s="54" t="s">
        <v>84</v>
      </c>
      <c r="FV52" s="54" t="s">
        <v>84</v>
      </c>
      <c r="FW52" s="54" t="s">
        <v>84</v>
      </c>
      <c r="FX52" s="54" t="s">
        <v>84</v>
      </c>
      <c r="FY52" s="54" t="s">
        <v>84</v>
      </c>
      <c r="FZ52" s="54" t="s">
        <v>84</v>
      </c>
      <c r="GA52" s="54" t="s">
        <v>84</v>
      </c>
      <c r="GB52" s="54" t="s">
        <v>84</v>
      </c>
      <c r="GC52" s="54" t="s">
        <v>84</v>
      </c>
      <c r="GD52" s="54" t="s">
        <v>84</v>
      </c>
      <c r="GE52" s="54" t="s">
        <v>84</v>
      </c>
      <c r="GF52" s="54" t="s">
        <v>84</v>
      </c>
      <c r="GG52" s="54" t="s">
        <v>84</v>
      </c>
      <c r="GH52" s="54" t="s">
        <v>84</v>
      </c>
      <c r="GI52" s="54" t="s">
        <v>84</v>
      </c>
      <c r="GJ52" s="54" t="s">
        <v>84</v>
      </c>
      <c r="GK52" s="54" t="s">
        <v>84</v>
      </c>
      <c r="GL52" s="54" t="s">
        <v>84</v>
      </c>
      <c r="GM52" s="54" t="s">
        <v>84</v>
      </c>
      <c r="GN52" s="54" t="s">
        <v>84</v>
      </c>
      <c r="GO52" s="54" t="s">
        <v>84</v>
      </c>
      <c r="GP52" s="54" t="s">
        <v>84</v>
      </c>
      <c r="GQ52" s="54" t="s">
        <v>84</v>
      </c>
      <c r="GR52" s="54" t="s">
        <v>84</v>
      </c>
      <c r="GS52" s="54" t="s">
        <v>84</v>
      </c>
      <c r="GT52" s="54" t="s">
        <v>84</v>
      </c>
      <c r="GU52" s="54" t="s">
        <v>84</v>
      </c>
      <c r="GV52" s="54" t="s">
        <v>84</v>
      </c>
    </row>
    <row r="53">
      <c r="D53" s="53" t="str">
        <f t="array" ref="D53:E53">IF('Wątki'!B54=$A$1,INDIRECT("Klasa"),IF('Wątki'!B54=$A$2,INDIRECT("Grupa"),IF('Wątki'!B54=$A$3,INDIRECT("Postać"),"Nie")))</f>
        <v>Tak</v>
      </c>
      <c r="E53" s="53" t="s">
        <v>191</v>
      </c>
      <c r="F53" s="54" t="s">
        <v>86</v>
      </c>
      <c r="G53" s="54" t="s">
        <v>86</v>
      </c>
      <c r="H53" s="54" t="s">
        <v>86</v>
      </c>
      <c r="I53" s="54"/>
      <c r="J53" s="54" t="s">
        <v>86</v>
      </c>
      <c r="K53" s="54" t="s">
        <v>86</v>
      </c>
      <c r="L53" s="54" t="s">
        <v>86</v>
      </c>
      <c r="M53" s="54" t="s">
        <v>86</v>
      </c>
      <c r="N53" s="54" t="s">
        <v>86</v>
      </c>
      <c r="O53" s="54" t="s">
        <v>86</v>
      </c>
      <c r="P53" s="54" t="s">
        <v>86</v>
      </c>
      <c r="Q53" s="54" t="s">
        <v>86</v>
      </c>
      <c r="R53" s="54" t="s">
        <v>86</v>
      </c>
      <c r="S53" s="54" t="s">
        <v>86</v>
      </c>
      <c r="T53" s="54" t="s">
        <v>86</v>
      </c>
      <c r="U53" s="54" t="s">
        <v>86</v>
      </c>
      <c r="V53" s="54"/>
      <c r="W53" s="54" t="s">
        <v>86</v>
      </c>
      <c r="X53" s="54" t="s">
        <v>86</v>
      </c>
      <c r="Y53" s="54" t="s">
        <v>86</v>
      </c>
      <c r="Z53" s="54" t="s">
        <v>86</v>
      </c>
      <c r="AA53" s="54"/>
      <c r="AB53" s="54" t="s">
        <v>86</v>
      </c>
      <c r="AC53" s="54" t="s">
        <v>86</v>
      </c>
      <c r="AD53" s="54" t="s">
        <v>86</v>
      </c>
      <c r="AE53" s="54" t="s">
        <v>86</v>
      </c>
      <c r="AF53" s="54" t="s">
        <v>86</v>
      </c>
      <c r="AG53" s="54" t="s">
        <v>86</v>
      </c>
      <c r="AH53" s="54" t="s">
        <v>86</v>
      </c>
      <c r="AI53" s="54" t="s">
        <v>86</v>
      </c>
      <c r="AJ53" s="54" t="s">
        <v>86</v>
      </c>
      <c r="AK53" s="54" t="s">
        <v>86</v>
      </c>
      <c r="AL53" s="54"/>
      <c r="AM53" s="54" t="s">
        <v>86</v>
      </c>
      <c r="AN53" s="54" t="s">
        <v>86</v>
      </c>
      <c r="AO53" s="54" t="s">
        <v>86</v>
      </c>
      <c r="AP53" s="54" t="s">
        <v>86</v>
      </c>
      <c r="AQ53" s="54" t="s">
        <v>86</v>
      </c>
      <c r="AR53" s="54" t="s">
        <v>86</v>
      </c>
      <c r="AS53" s="54" t="s">
        <v>86</v>
      </c>
      <c r="AT53" s="54" t="s">
        <v>86</v>
      </c>
      <c r="AU53" s="54" t="s">
        <v>86</v>
      </c>
      <c r="AV53" s="54"/>
      <c r="AW53" s="54" t="s">
        <v>86</v>
      </c>
      <c r="AX53" s="54"/>
      <c r="AY53" s="54"/>
      <c r="AZ53" s="54"/>
      <c r="BA53" s="54"/>
      <c r="BB53" s="54"/>
      <c r="BC53" s="54"/>
      <c r="BD53" s="54"/>
      <c r="BE53" s="54"/>
      <c r="BF53" s="54"/>
      <c r="BG53" s="54"/>
      <c r="BH53" s="54"/>
      <c r="BI53" s="54"/>
      <c r="BJ53" s="54"/>
      <c r="BK53" s="54"/>
      <c r="BL53" s="54"/>
      <c r="BM53" s="54"/>
      <c r="BN53" s="54"/>
      <c r="BO53" s="54"/>
      <c r="BP53" s="54"/>
      <c r="BQ53" s="54" t="s">
        <v>86</v>
      </c>
      <c r="BR53" s="54" t="s">
        <v>86</v>
      </c>
      <c r="BS53" s="54" t="s">
        <v>86</v>
      </c>
      <c r="BT53" s="54"/>
      <c r="BU53" s="54" t="s">
        <v>86</v>
      </c>
      <c r="BV53" s="54" t="s">
        <v>86</v>
      </c>
      <c r="BW53" s="54"/>
      <c r="BX53" s="54" t="s">
        <v>86</v>
      </c>
      <c r="BY53" s="54" t="s">
        <v>86</v>
      </c>
      <c r="BZ53" s="54" t="s">
        <v>86</v>
      </c>
      <c r="CA53" s="54" t="s">
        <v>86</v>
      </c>
      <c r="CB53" s="54" t="s">
        <v>86</v>
      </c>
      <c r="CC53" s="54" t="s">
        <v>86</v>
      </c>
      <c r="CD53" s="54" t="s">
        <v>86</v>
      </c>
      <c r="CE53" s="54" t="s">
        <v>86</v>
      </c>
      <c r="CF53" s="54"/>
      <c r="CG53" s="54" t="s">
        <v>86</v>
      </c>
      <c r="CH53" s="54" t="s">
        <v>86</v>
      </c>
      <c r="CI53" s="54" t="s">
        <v>86</v>
      </c>
      <c r="CJ53" s="54" t="s">
        <v>86</v>
      </c>
      <c r="CK53" s="54" t="s">
        <v>86</v>
      </c>
      <c r="CL53" s="54" t="s">
        <v>86</v>
      </c>
      <c r="CM53" s="54"/>
      <c r="CN53" s="54"/>
      <c r="CO53" s="54" t="s">
        <v>86</v>
      </c>
      <c r="CP53" s="54" t="s">
        <v>86</v>
      </c>
      <c r="CQ53" s="54" t="s">
        <v>86</v>
      </c>
      <c r="CR53" s="54" t="s">
        <v>86</v>
      </c>
      <c r="CS53" s="54"/>
      <c r="CT53" s="54"/>
      <c r="CU53" s="54" t="s">
        <v>86</v>
      </c>
      <c r="CV53" s="54"/>
      <c r="CW53" s="54" t="s">
        <v>86</v>
      </c>
      <c r="CX53" s="54" t="s">
        <v>86</v>
      </c>
      <c r="CY53" s="54" t="s">
        <v>86</v>
      </c>
      <c r="CZ53" s="54"/>
      <c r="DA53" s="54" t="s">
        <v>86</v>
      </c>
      <c r="DB53" s="54" t="s">
        <v>86</v>
      </c>
      <c r="DC53" s="54"/>
      <c r="DD53" s="54"/>
      <c r="DE53" s="54"/>
      <c r="DF53" s="54" t="s">
        <v>86</v>
      </c>
      <c r="DG53" s="54" t="s">
        <v>86</v>
      </c>
      <c r="DH53" s="54" t="s">
        <v>86</v>
      </c>
      <c r="DI53" s="54" t="s">
        <v>86</v>
      </c>
      <c r="DJ53" s="54" t="s">
        <v>86</v>
      </c>
      <c r="DK53" s="54"/>
      <c r="DL53" s="54"/>
      <c r="DM53" s="54"/>
      <c r="DN53" s="54" t="s">
        <v>86</v>
      </c>
      <c r="DO53" s="54" t="s">
        <v>86</v>
      </c>
      <c r="DP53" s="54" t="s">
        <v>86</v>
      </c>
      <c r="DQ53" s="54"/>
      <c r="DR53" s="54" t="s">
        <v>86</v>
      </c>
      <c r="DS53" s="54" t="s">
        <v>86</v>
      </c>
      <c r="DT53" s="54" t="s">
        <v>86</v>
      </c>
      <c r="DU53" s="54" t="s">
        <v>86</v>
      </c>
      <c r="DV53" s="54" t="s">
        <v>86</v>
      </c>
      <c r="DW53" s="54"/>
      <c r="DX53" s="54"/>
      <c r="DY53" s="54"/>
      <c r="DZ53" s="54"/>
      <c r="EA53" s="54"/>
      <c r="EB53" s="54"/>
      <c r="EC53" s="54"/>
      <c r="ED53" s="54"/>
      <c r="EE53" s="54" t="s">
        <v>86</v>
      </c>
      <c r="EF53" s="54" t="s">
        <v>86</v>
      </c>
      <c r="EG53" s="54" t="s">
        <v>86</v>
      </c>
      <c r="EH53" s="54" t="s">
        <v>86</v>
      </c>
      <c r="EI53" s="54" t="s">
        <v>86</v>
      </c>
      <c r="EJ53" s="54" t="s">
        <v>86</v>
      </c>
      <c r="EK53" s="54" t="s">
        <v>86</v>
      </c>
      <c r="EL53" s="54" t="s">
        <v>86</v>
      </c>
      <c r="EM53" s="54" t="s">
        <v>86</v>
      </c>
      <c r="EN53" s="54" t="s">
        <v>86</v>
      </c>
      <c r="EO53" s="54" t="s">
        <v>86</v>
      </c>
      <c r="EP53" s="54"/>
      <c r="EQ53" s="54" t="s">
        <v>86</v>
      </c>
      <c r="ER53" s="54" t="s">
        <v>86</v>
      </c>
      <c r="ES53" s="54" t="s">
        <v>86</v>
      </c>
      <c r="ET53" s="54" t="s">
        <v>86</v>
      </c>
      <c r="EU53" s="54" t="s">
        <v>86</v>
      </c>
      <c r="EV53" s="54" t="s">
        <v>86</v>
      </c>
      <c r="EW53" s="54" t="s">
        <v>86</v>
      </c>
      <c r="EX53" s="54" t="s">
        <v>86</v>
      </c>
      <c r="EY53" s="54" t="s">
        <v>86</v>
      </c>
      <c r="EZ53" s="54" t="s">
        <v>86</v>
      </c>
      <c r="FA53" s="54" t="s">
        <v>86</v>
      </c>
      <c r="FB53" s="54" t="s">
        <v>86</v>
      </c>
      <c r="FC53" s="54" t="s">
        <v>86</v>
      </c>
      <c r="FD53" s="54" t="s">
        <v>86</v>
      </c>
      <c r="FE53" s="54" t="s">
        <v>86</v>
      </c>
      <c r="FF53" s="54" t="s">
        <v>86</v>
      </c>
      <c r="FG53" s="54" t="s">
        <v>86</v>
      </c>
      <c r="FH53" s="54" t="s">
        <v>86</v>
      </c>
      <c r="FI53" s="54" t="s">
        <v>86</v>
      </c>
      <c r="FJ53" s="54" t="s">
        <v>86</v>
      </c>
      <c r="FK53" s="54" t="s">
        <v>86</v>
      </c>
      <c r="FL53" s="54" t="s">
        <v>86</v>
      </c>
      <c r="FM53" s="54" t="s">
        <v>86</v>
      </c>
      <c r="FN53" s="54" t="s">
        <v>86</v>
      </c>
      <c r="FO53" s="54" t="s">
        <v>86</v>
      </c>
      <c r="FP53" s="54" t="s">
        <v>86</v>
      </c>
      <c r="FQ53" s="54" t="s">
        <v>86</v>
      </c>
      <c r="FR53" s="54" t="s">
        <v>86</v>
      </c>
      <c r="FS53" s="54" t="s">
        <v>86</v>
      </c>
      <c r="FT53" s="54" t="s">
        <v>86</v>
      </c>
      <c r="FU53" s="54" t="s">
        <v>86</v>
      </c>
      <c r="FV53" s="54" t="s">
        <v>86</v>
      </c>
      <c r="FW53" s="54" t="s">
        <v>86</v>
      </c>
      <c r="FX53" s="54" t="s">
        <v>86</v>
      </c>
      <c r="FY53" s="54" t="s">
        <v>86</v>
      </c>
      <c r="FZ53" s="54" t="s">
        <v>86</v>
      </c>
      <c r="GA53" s="54" t="s">
        <v>86</v>
      </c>
      <c r="GB53" s="54" t="s">
        <v>86</v>
      </c>
      <c r="GC53" s="54" t="s">
        <v>86</v>
      </c>
      <c r="GD53" s="54" t="s">
        <v>86</v>
      </c>
      <c r="GE53" s="54" t="s">
        <v>86</v>
      </c>
      <c r="GF53" s="54" t="s">
        <v>86</v>
      </c>
      <c r="GG53" s="54" t="s">
        <v>86</v>
      </c>
      <c r="GH53" s="54" t="s">
        <v>86</v>
      </c>
      <c r="GI53" s="54" t="s">
        <v>86</v>
      </c>
      <c r="GJ53" s="54" t="s">
        <v>86</v>
      </c>
      <c r="GK53" s="54" t="s">
        <v>86</v>
      </c>
      <c r="GL53" s="54" t="s">
        <v>86</v>
      </c>
      <c r="GM53" s="54" t="s">
        <v>86</v>
      </c>
      <c r="GN53" s="54" t="s">
        <v>86</v>
      </c>
      <c r="GO53" s="54" t="s">
        <v>86</v>
      </c>
      <c r="GP53" s="54" t="s">
        <v>86</v>
      </c>
      <c r="GQ53" s="54" t="s">
        <v>86</v>
      </c>
      <c r="GR53" s="54" t="s">
        <v>86</v>
      </c>
      <c r="GS53" s="54" t="s">
        <v>86</v>
      </c>
      <c r="GT53" s="54" t="s">
        <v>86</v>
      </c>
      <c r="GU53" s="54" t="s">
        <v>86</v>
      </c>
      <c r="GV53" s="54" t="s">
        <v>86</v>
      </c>
    </row>
    <row r="54">
      <c r="D54" s="53" t="str">
        <f t="array" ref="D54:E54">IF('Wątki'!B55=$A$1,INDIRECT("Klasa"),IF('Wątki'!B55=$A$2,INDIRECT("Grupa"),IF('Wątki'!B55=$A$3,INDIRECT("Postać"),"Nie")))</f>
        <v>Tak</v>
      </c>
      <c r="E54" s="53" t="s">
        <v>191</v>
      </c>
      <c r="F54" s="54" t="s">
        <v>87</v>
      </c>
      <c r="G54" s="54" t="s">
        <v>87</v>
      </c>
      <c r="H54" s="54" t="s">
        <v>87</v>
      </c>
      <c r="I54" s="54"/>
      <c r="J54" s="54" t="s">
        <v>87</v>
      </c>
      <c r="K54" s="54" t="s">
        <v>87</v>
      </c>
      <c r="L54" s="54" t="s">
        <v>87</v>
      </c>
      <c r="M54" s="54" t="s">
        <v>87</v>
      </c>
      <c r="N54" s="54" t="s">
        <v>87</v>
      </c>
      <c r="O54" s="54" t="s">
        <v>87</v>
      </c>
      <c r="P54" s="54" t="s">
        <v>87</v>
      </c>
      <c r="Q54" s="54" t="s">
        <v>87</v>
      </c>
      <c r="R54" s="54" t="s">
        <v>87</v>
      </c>
      <c r="S54" s="54" t="s">
        <v>87</v>
      </c>
      <c r="T54" s="54" t="s">
        <v>87</v>
      </c>
      <c r="U54" s="54" t="s">
        <v>87</v>
      </c>
      <c r="V54" s="54"/>
      <c r="W54" s="54" t="s">
        <v>87</v>
      </c>
      <c r="X54" s="54" t="s">
        <v>87</v>
      </c>
      <c r="Y54" s="54" t="s">
        <v>87</v>
      </c>
      <c r="Z54" s="54" t="s">
        <v>87</v>
      </c>
      <c r="AA54" s="54"/>
      <c r="AB54" s="54" t="s">
        <v>87</v>
      </c>
      <c r="AC54" s="54" t="s">
        <v>87</v>
      </c>
      <c r="AD54" s="54" t="s">
        <v>87</v>
      </c>
      <c r="AE54" s="54" t="s">
        <v>87</v>
      </c>
      <c r="AF54" s="54" t="s">
        <v>87</v>
      </c>
      <c r="AG54" s="54" t="s">
        <v>87</v>
      </c>
      <c r="AH54" s="54" t="s">
        <v>87</v>
      </c>
      <c r="AI54" s="54" t="s">
        <v>87</v>
      </c>
      <c r="AJ54" s="54" t="s">
        <v>87</v>
      </c>
      <c r="AK54" s="54" t="s">
        <v>87</v>
      </c>
      <c r="AL54" s="54"/>
      <c r="AM54" s="54" t="s">
        <v>87</v>
      </c>
      <c r="AN54" s="54" t="s">
        <v>87</v>
      </c>
      <c r="AO54" s="54" t="s">
        <v>87</v>
      </c>
      <c r="AP54" s="54" t="s">
        <v>87</v>
      </c>
      <c r="AQ54" s="54" t="s">
        <v>87</v>
      </c>
      <c r="AR54" s="54" t="s">
        <v>87</v>
      </c>
      <c r="AS54" s="54" t="s">
        <v>87</v>
      </c>
      <c r="AT54" s="54" t="s">
        <v>87</v>
      </c>
      <c r="AU54" s="54" t="s">
        <v>87</v>
      </c>
      <c r="AV54" s="54"/>
      <c r="AW54" s="54" t="s">
        <v>87</v>
      </c>
      <c r="AX54" s="54"/>
      <c r="AY54" s="54"/>
      <c r="AZ54" s="54"/>
      <c r="BA54" s="54"/>
      <c r="BB54" s="54"/>
      <c r="BC54" s="54"/>
      <c r="BD54" s="54"/>
      <c r="BE54" s="54"/>
      <c r="BF54" s="54"/>
      <c r="BG54" s="54"/>
      <c r="BH54" s="54"/>
      <c r="BI54" s="54"/>
      <c r="BJ54" s="54"/>
      <c r="BK54" s="54"/>
      <c r="BL54" s="54"/>
      <c r="BM54" s="54"/>
      <c r="BN54" s="54"/>
      <c r="BO54" s="54"/>
      <c r="BP54" s="54"/>
      <c r="BQ54" s="54" t="s">
        <v>87</v>
      </c>
      <c r="BR54" s="54" t="s">
        <v>87</v>
      </c>
      <c r="BS54" s="54" t="s">
        <v>87</v>
      </c>
      <c r="BT54" s="54"/>
      <c r="BU54" s="54" t="s">
        <v>87</v>
      </c>
      <c r="BV54" s="54" t="s">
        <v>87</v>
      </c>
      <c r="BW54" s="54"/>
      <c r="BX54" s="54" t="s">
        <v>87</v>
      </c>
      <c r="BY54" s="54" t="s">
        <v>87</v>
      </c>
      <c r="BZ54" s="54" t="s">
        <v>87</v>
      </c>
      <c r="CA54" s="54" t="s">
        <v>87</v>
      </c>
      <c r="CB54" s="54" t="s">
        <v>87</v>
      </c>
      <c r="CC54" s="54" t="s">
        <v>87</v>
      </c>
      <c r="CD54" s="54" t="s">
        <v>87</v>
      </c>
      <c r="CE54" s="54" t="s">
        <v>87</v>
      </c>
      <c r="CF54" s="54"/>
      <c r="CG54" s="54" t="s">
        <v>87</v>
      </c>
      <c r="CH54" s="54" t="s">
        <v>87</v>
      </c>
      <c r="CI54" s="54" t="s">
        <v>87</v>
      </c>
      <c r="CJ54" s="54" t="s">
        <v>87</v>
      </c>
      <c r="CK54" s="54" t="s">
        <v>87</v>
      </c>
      <c r="CL54" s="54" t="s">
        <v>87</v>
      </c>
      <c r="CM54" s="54"/>
      <c r="CN54" s="54"/>
      <c r="CO54" s="54" t="s">
        <v>87</v>
      </c>
      <c r="CP54" s="54" t="s">
        <v>87</v>
      </c>
      <c r="CQ54" s="54" t="s">
        <v>87</v>
      </c>
      <c r="CR54" s="54" t="s">
        <v>87</v>
      </c>
      <c r="CS54" s="54"/>
      <c r="CT54" s="54"/>
      <c r="CU54" s="54" t="s">
        <v>87</v>
      </c>
      <c r="CV54" s="54"/>
      <c r="CW54" s="54" t="s">
        <v>87</v>
      </c>
      <c r="CX54" s="54" t="s">
        <v>87</v>
      </c>
      <c r="CY54" s="54" t="s">
        <v>87</v>
      </c>
      <c r="CZ54" s="54"/>
      <c r="DA54" s="54" t="s">
        <v>87</v>
      </c>
      <c r="DB54" s="54" t="s">
        <v>87</v>
      </c>
      <c r="DC54" s="54"/>
      <c r="DD54" s="54"/>
      <c r="DE54" s="54"/>
      <c r="DF54" s="54" t="s">
        <v>87</v>
      </c>
      <c r="DG54" s="54" t="s">
        <v>87</v>
      </c>
      <c r="DH54" s="54" t="s">
        <v>87</v>
      </c>
      <c r="DI54" s="54" t="s">
        <v>87</v>
      </c>
      <c r="DJ54" s="54" t="s">
        <v>87</v>
      </c>
      <c r="DK54" s="54"/>
      <c r="DL54" s="54"/>
      <c r="DM54" s="54"/>
      <c r="DN54" s="54" t="s">
        <v>87</v>
      </c>
      <c r="DO54" s="54" t="s">
        <v>87</v>
      </c>
      <c r="DP54" s="54" t="s">
        <v>87</v>
      </c>
      <c r="DQ54" s="54"/>
      <c r="DR54" s="54" t="s">
        <v>87</v>
      </c>
      <c r="DS54" s="54" t="s">
        <v>87</v>
      </c>
      <c r="DT54" s="54" t="s">
        <v>87</v>
      </c>
      <c r="DU54" s="54" t="s">
        <v>87</v>
      </c>
      <c r="DV54" s="54" t="s">
        <v>87</v>
      </c>
      <c r="DW54" s="54"/>
      <c r="DX54" s="54"/>
      <c r="DY54" s="54"/>
      <c r="DZ54" s="54"/>
      <c r="EA54" s="54"/>
      <c r="EB54" s="54"/>
      <c r="EC54" s="54"/>
      <c r="ED54" s="54"/>
      <c r="EE54" s="54" t="s">
        <v>87</v>
      </c>
      <c r="EF54" s="54" t="s">
        <v>87</v>
      </c>
      <c r="EG54" s="54" t="s">
        <v>87</v>
      </c>
      <c r="EH54" s="54" t="s">
        <v>87</v>
      </c>
      <c r="EI54" s="54" t="s">
        <v>87</v>
      </c>
      <c r="EJ54" s="54" t="s">
        <v>87</v>
      </c>
      <c r="EK54" s="54" t="s">
        <v>87</v>
      </c>
      <c r="EL54" s="54" t="s">
        <v>87</v>
      </c>
      <c r="EM54" s="54" t="s">
        <v>87</v>
      </c>
      <c r="EN54" s="54" t="s">
        <v>87</v>
      </c>
      <c r="EO54" s="54" t="s">
        <v>87</v>
      </c>
      <c r="EP54" s="54"/>
      <c r="EQ54" s="54" t="s">
        <v>87</v>
      </c>
      <c r="ER54" s="54" t="s">
        <v>87</v>
      </c>
      <c r="ES54" s="54" t="s">
        <v>87</v>
      </c>
      <c r="ET54" s="54" t="s">
        <v>87</v>
      </c>
      <c r="EU54" s="54" t="s">
        <v>87</v>
      </c>
      <c r="EV54" s="54" t="s">
        <v>87</v>
      </c>
      <c r="EW54" s="54" t="s">
        <v>87</v>
      </c>
      <c r="EX54" s="54" t="s">
        <v>87</v>
      </c>
      <c r="EY54" s="54" t="s">
        <v>87</v>
      </c>
      <c r="EZ54" s="54" t="s">
        <v>87</v>
      </c>
      <c r="FA54" s="54" t="s">
        <v>87</v>
      </c>
      <c r="FB54" s="54" t="s">
        <v>87</v>
      </c>
      <c r="FC54" s="54" t="s">
        <v>87</v>
      </c>
      <c r="FD54" s="54" t="s">
        <v>87</v>
      </c>
      <c r="FE54" s="54" t="s">
        <v>87</v>
      </c>
      <c r="FF54" s="54" t="s">
        <v>87</v>
      </c>
      <c r="FG54" s="54" t="s">
        <v>87</v>
      </c>
      <c r="FH54" s="54" t="s">
        <v>87</v>
      </c>
      <c r="FI54" s="54" t="s">
        <v>87</v>
      </c>
      <c r="FJ54" s="54" t="s">
        <v>87</v>
      </c>
      <c r="FK54" s="54" t="s">
        <v>87</v>
      </c>
      <c r="FL54" s="54" t="s">
        <v>87</v>
      </c>
      <c r="FM54" s="54" t="s">
        <v>87</v>
      </c>
      <c r="FN54" s="54" t="s">
        <v>87</v>
      </c>
      <c r="FO54" s="54" t="s">
        <v>87</v>
      </c>
      <c r="FP54" s="54" t="s">
        <v>87</v>
      </c>
      <c r="FQ54" s="54" t="s">
        <v>87</v>
      </c>
      <c r="FR54" s="54" t="s">
        <v>87</v>
      </c>
      <c r="FS54" s="54" t="s">
        <v>87</v>
      </c>
      <c r="FT54" s="54" t="s">
        <v>87</v>
      </c>
      <c r="FU54" s="54" t="s">
        <v>87</v>
      </c>
      <c r="FV54" s="54" t="s">
        <v>87</v>
      </c>
      <c r="FW54" s="54" t="s">
        <v>87</v>
      </c>
      <c r="FX54" s="54" t="s">
        <v>87</v>
      </c>
      <c r="FY54" s="54" t="s">
        <v>87</v>
      </c>
      <c r="FZ54" s="54" t="s">
        <v>87</v>
      </c>
      <c r="GA54" s="54" t="s">
        <v>87</v>
      </c>
      <c r="GB54" s="54" t="s">
        <v>87</v>
      </c>
      <c r="GC54" s="54" t="s">
        <v>87</v>
      </c>
      <c r="GD54" s="54" t="s">
        <v>87</v>
      </c>
      <c r="GE54" s="54" t="s">
        <v>87</v>
      </c>
      <c r="GF54" s="54" t="s">
        <v>87</v>
      </c>
      <c r="GG54" s="54" t="s">
        <v>87</v>
      </c>
      <c r="GH54" s="54" t="s">
        <v>87</v>
      </c>
      <c r="GI54" s="54" t="s">
        <v>87</v>
      </c>
      <c r="GJ54" s="54" t="s">
        <v>87</v>
      </c>
      <c r="GK54" s="54" t="s">
        <v>87</v>
      </c>
      <c r="GL54" s="54" t="s">
        <v>87</v>
      </c>
      <c r="GM54" s="54" t="s">
        <v>87</v>
      </c>
      <c r="GN54" s="54" t="s">
        <v>87</v>
      </c>
      <c r="GO54" s="54" t="s">
        <v>87</v>
      </c>
      <c r="GP54" s="54" t="s">
        <v>87</v>
      </c>
      <c r="GQ54" s="54" t="s">
        <v>87</v>
      </c>
      <c r="GR54" s="54" t="s">
        <v>87</v>
      </c>
      <c r="GS54" s="54" t="s">
        <v>87</v>
      </c>
      <c r="GT54" s="54" t="s">
        <v>87</v>
      </c>
      <c r="GU54" s="54" t="s">
        <v>87</v>
      </c>
      <c r="GV54" s="54" t="s">
        <v>87</v>
      </c>
    </row>
    <row r="55">
      <c r="D55" s="53" t="str">
        <f t="array" ref="D55:E55">IF('Wątki'!B56=$A$1,INDIRECT("Klasa"),IF('Wątki'!B56=$A$2,INDIRECT("Grupa"),IF('Wątki'!B56=$A$3,INDIRECT("Postać"),"Nie")))</f>
        <v>Tak</v>
      </c>
      <c r="E55" s="53" t="s">
        <v>191</v>
      </c>
      <c r="F55" s="54" t="s">
        <v>88</v>
      </c>
      <c r="G55" s="54" t="s">
        <v>88</v>
      </c>
      <c r="H55" s="54" t="s">
        <v>88</v>
      </c>
      <c r="I55" s="54"/>
      <c r="J55" s="54" t="s">
        <v>88</v>
      </c>
      <c r="K55" s="54" t="s">
        <v>88</v>
      </c>
      <c r="L55" s="54" t="s">
        <v>88</v>
      </c>
      <c r="M55" s="54" t="s">
        <v>88</v>
      </c>
      <c r="N55" s="54" t="s">
        <v>88</v>
      </c>
      <c r="O55" s="54" t="s">
        <v>88</v>
      </c>
      <c r="P55" s="54" t="s">
        <v>88</v>
      </c>
      <c r="Q55" s="54" t="s">
        <v>88</v>
      </c>
      <c r="R55" s="54" t="s">
        <v>88</v>
      </c>
      <c r="S55" s="54" t="s">
        <v>88</v>
      </c>
      <c r="T55" s="54" t="s">
        <v>88</v>
      </c>
      <c r="U55" s="54" t="s">
        <v>88</v>
      </c>
      <c r="V55" s="54"/>
      <c r="W55" s="54" t="s">
        <v>88</v>
      </c>
      <c r="X55" s="54" t="s">
        <v>88</v>
      </c>
      <c r="Y55" s="54" t="s">
        <v>88</v>
      </c>
      <c r="Z55" s="54" t="s">
        <v>88</v>
      </c>
      <c r="AA55" s="54"/>
      <c r="AB55" s="54" t="s">
        <v>88</v>
      </c>
      <c r="AC55" s="54" t="s">
        <v>88</v>
      </c>
      <c r="AD55" s="54" t="s">
        <v>88</v>
      </c>
      <c r="AE55" s="54" t="s">
        <v>88</v>
      </c>
      <c r="AF55" s="54" t="s">
        <v>88</v>
      </c>
      <c r="AG55" s="54" t="s">
        <v>88</v>
      </c>
      <c r="AH55" s="54" t="s">
        <v>88</v>
      </c>
      <c r="AI55" s="54" t="s">
        <v>88</v>
      </c>
      <c r="AJ55" s="54" t="s">
        <v>88</v>
      </c>
      <c r="AK55" s="54" t="s">
        <v>88</v>
      </c>
      <c r="AL55" s="54"/>
      <c r="AM55" s="54" t="s">
        <v>88</v>
      </c>
      <c r="AN55" s="54" t="s">
        <v>88</v>
      </c>
      <c r="AO55" s="54" t="s">
        <v>88</v>
      </c>
      <c r="AP55" s="54" t="s">
        <v>88</v>
      </c>
      <c r="AQ55" s="54" t="s">
        <v>88</v>
      </c>
      <c r="AR55" s="54" t="s">
        <v>88</v>
      </c>
      <c r="AS55" s="54" t="s">
        <v>88</v>
      </c>
      <c r="AT55" s="54" t="s">
        <v>88</v>
      </c>
      <c r="AU55" s="54" t="s">
        <v>88</v>
      </c>
      <c r="AV55" s="54"/>
      <c r="AW55" s="54" t="s">
        <v>88</v>
      </c>
      <c r="AX55" s="54"/>
      <c r="AY55" s="54"/>
      <c r="AZ55" s="54"/>
      <c r="BA55" s="54"/>
      <c r="BB55" s="54"/>
      <c r="BC55" s="54"/>
      <c r="BD55" s="54"/>
      <c r="BE55" s="54"/>
      <c r="BF55" s="54"/>
      <c r="BG55" s="54"/>
      <c r="BH55" s="54"/>
      <c r="BI55" s="54"/>
      <c r="BJ55" s="54"/>
      <c r="BK55" s="54"/>
      <c r="BL55" s="54"/>
      <c r="BM55" s="54"/>
      <c r="BN55" s="54"/>
      <c r="BO55" s="54"/>
      <c r="BP55" s="54"/>
      <c r="BQ55" s="54" t="s">
        <v>88</v>
      </c>
      <c r="BR55" s="54" t="s">
        <v>88</v>
      </c>
      <c r="BS55" s="54" t="s">
        <v>88</v>
      </c>
      <c r="BT55" s="54"/>
      <c r="BU55" s="54" t="s">
        <v>88</v>
      </c>
      <c r="BV55" s="54" t="s">
        <v>88</v>
      </c>
      <c r="BW55" s="54"/>
      <c r="BX55" s="54" t="s">
        <v>88</v>
      </c>
      <c r="BY55" s="54" t="s">
        <v>88</v>
      </c>
      <c r="BZ55" s="54" t="s">
        <v>88</v>
      </c>
      <c r="CA55" s="54" t="s">
        <v>88</v>
      </c>
      <c r="CB55" s="54" t="s">
        <v>88</v>
      </c>
      <c r="CC55" s="54" t="s">
        <v>88</v>
      </c>
      <c r="CD55" s="54" t="s">
        <v>88</v>
      </c>
      <c r="CE55" s="54" t="s">
        <v>88</v>
      </c>
      <c r="CF55" s="54"/>
      <c r="CG55" s="54" t="s">
        <v>88</v>
      </c>
      <c r="CH55" s="54" t="s">
        <v>88</v>
      </c>
      <c r="CI55" s="54" t="s">
        <v>88</v>
      </c>
      <c r="CJ55" s="54" t="s">
        <v>88</v>
      </c>
      <c r="CK55" s="54" t="s">
        <v>88</v>
      </c>
      <c r="CL55" s="54" t="s">
        <v>88</v>
      </c>
      <c r="CM55" s="54"/>
      <c r="CN55" s="54"/>
      <c r="CO55" s="54" t="s">
        <v>88</v>
      </c>
      <c r="CP55" s="54" t="s">
        <v>88</v>
      </c>
      <c r="CQ55" s="54" t="s">
        <v>88</v>
      </c>
      <c r="CR55" s="54" t="s">
        <v>88</v>
      </c>
      <c r="CS55" s="54"/>
      <c r="CT55" s="54"/>
      <c r="CU55" s="54" t="s">
        <v>88</v>
      </c>
      <c r="CV55" s="54"/>
      <c r="CW55" s="54" t="s">
        <v>88</v>
      </c>
      <c r="CX55" s="54" t="s">
        <v>88</v>
      </c>
      <c r="CY55" s="54" t="s">
        <v>88</v>
      </c>
      <c r="CZ55" s="54"/>
      <c r="DA55" s="54" t="s">
        <v>88</v>
      </c>
      <c r="DB55" s="54" t="s">
        <v>88</v>
      </c>
      <c r="DC55" s="54"/>
      <c r="DD55" s="54"/>
      <c r="DE55" s="54"/>
      <c r="DF55" s="54" t="s">
        <v>88</v>
      </c>
      <c r="DG55" s="54" t="s">
        <v>88</v>
      </c>
      <c r="DH55" s="54" t="s">
        <v>88</v>
      </c>
      <c r="DI55" s="54" t="s">
        <v>88</v>
      </c>
      <c r="DJ55" s="54" t="s">
        <v>88</v>
      </c>
      <c r="DK55" s="54"/>
      <c r="DL55" s="54"/>
      <c r="DM55" s="54"/>
      <c r="DN55" s="54" t="s">
        <v>88</v>
      </c>
      <c r="DO55" s="54" t="s">
        <v>88</v>
      </c>
      <c r="DP55" s="54" t="s">
        <v>88</v>
      </c>
      <c r="DQ55" s="54"/>
      <c r="DR55" s="54" t="s">
        <v>88</v>
      </c>
      <c r="DS55" s="54" t="s">
        <v>88</v>
      </c>
      <c r="DT55" s="54" t="s">
        <v>88</v>
      </c>
      <c r="DU55" s="54" t="s">
        <v>88</v>
      </c>
      <c r="DV55" s="54" t="s">
        <v>88</v>
      </c>
      <c r="DW55" s="54"/>
      <c r="DX55" s="54"/>
      <c r="DY55" s="54"/>
      <c r="DZ55" s="54"/>
      <c r="EA55" s="54"/>
      <c r="EB55" s="54"/>
      <c r="EC55" s="54"/>
      <c r="ED55" s="54"/>
      <c r="EE55" s="54" t="s">
        <v>88</v>
      </c>
      <c r="EF55" s="54" t="s">
        <v>88</v>
      </c>
      <c r="EG55" s="54" t="s">
        <v>88</v>
      </c>
      <c r="EH55" s="54" t="s">
        <v>88</v>
      </c>
      <c r="EI55" s="54" t="s">
        <v>88</v>
      </c>
      <c r="EJ55" s="54" t="s">
        <v>88</v>
      </c>
      <c r="EK55" s="54" t="s">
        <v>88</v>
      </c>
      <c r="EL55" s="54" t="s">
        <v>88</v>
      </c>
      <c r="EM55" s="54" t="s">
        <v>88</v>
      </c>
      <c r="EN55" s="54" t="s">
        <v>88</v>
      </c>
      <c r="EO55" s="54" t="s">
        <v>88</v>
      </c>
      <c r="EP55" s="54"/>
      <c r="EQ55" s="54" t="s">
        <v>88</v>
      </c>
      <c r="ER55" s="54" t="s">
        <v>88</v>
      </c>
      <c r="ES55" s="54" t="s">
        <v>88</v>
      </c>
      <c r="ET55" s="54" t="s">
        <v>88</v>
      </c>
      <c r="EU55" s="54" t="s">
        <v>88</v>
      </c>
      <c r="EV55" s="54" t="s">
        <v>88</v>
      </c>
      <c r="EW55" s="54" t="s">
        <v>88</v>
      </c>
      <c r="EX55" s="54" t="s">
        <v>88</v>
      </c>
      <c r="EY55" s="54" t="s">
        <v>88</v>
      </c>
      <c r="EZ55" s="54" t="s">
        <v>88</v>
      </c>
      <c r="FA55" s="54" t="s">
        <v>88</v>
      </c>
      <c r="FB55" s="54" t="s">
        <v>88</v>
      </c>
      <c r="FC55" s="54" t="s">
        <v>88</v>
      </c>
      <c r="FD55" s="54" t="s">
        <v>88</v>
      </c>
      <c r="FE55" s="54" t="s">
        <v>88</v>
      </c>
      <c r="FF55" s="54" t="s">
        <v>88</v>
      </c>
      <c r="FG55" s="54" t="s">
        <v>88</v>
      </c>
      <c r="FH55" s="54" t="s">
        <v>88</v>
      </c>
      <c r="FI55" s="54" t="s">
        <v>88</v>
      </c>
      <c r="FJ55" s="54" t="s">
        <v>88</v>
      </c>
      <c r="FK55" s="54" t="s">
        <v>88</v>
      </c>
      <c r="FL55" s="54" t="s">
        <v>88</v>
      </c>
      <c r="FM55" s="54" t="s">
        <v>88</v>
      </c>
      <c r="FN55" s="54" t="s">
        <v>88</v>
      </c>
      <c r="FO55" s="54" t="s">
        <v>88</v>
      </c>
      <c r="FP55" s="54" t="s">
        <v>88</v>
      </c>
      <c r="FQ55" s="54" t="s">
        <v>88</v>
      </c>
      <c r="FR55" s="54" t="s">
        <v>88</v>
      </c>
      <c r="FS55" s="54" t="s">
        <v>88</v>
      </c>
      <c r="FT55" s="54" t="s">
        <v>88</v>
      </c>
      <c r="FU55" s="54" t="s">
        <v>88</v>
      </c>
      <c r="FV55" s="54" t="s">
        <v>88</v>
      </c>
      <c r="FW55" s="54" t="s">
        <v>88</v>
      </c>
      <c r="FX55" s="54" t="s">
        <v>88</v>
      </c>
      <c r="FY55" s="54" t="s">
        <v>88</v>
      </c>
      <c r="FZ55" s="54" t="s">
        <v>88</v>
      </c>
      <c r="GA55" s="54" t="s">
        <v>88</v>
      </c>
      <c r="GB55" s="54" t="s">
        <v>88</v>
      </c>
      <c r="GC55" s="54" t="s">
        <v>88</v>
      </c>
      <c r="GD55" s="54" t="s">
        <v>88</v>
      </c>
      <c r="GE55" s="54" t="s">
        <v>88</v>
      </c>
      <c r="GF55" s="54" t="s">
        <v>88</v>
      </c>
      <c r="GG55" s="54" t="s">
        <v>88</v>
      </c>
      <c r="GH55" s="54" t="s">
        <v>88</v>
      </c>
      <c r="GI55" s="54" t="s">
        <v>88</v>
      </c>
      <c r="GJ55" s="54" t="s">
        <v>88</v>
      </c>
      <c r="GK55" s="54" t="s">
        <v>88</v>
      </c>
      <c r="GL55" s="54" t="s">
        <v>88</v>
      </c>
      <c r="GM55" s="54" t="s">
        <v>88</v>
      </c>
      <c r="GN55" s="54" t="s">
        <v>88</v>
      </c>
      <c r="GO55" s="54" t="s">
        <v>88</v>
      </c>
      <c r="GP55" s="54" t="s">
        <v>88</v>
      </c>
      <c r="GQ55" s="54" t="s">
        <v>88</v>
      </c>
      <c r="GR55" s="54" t="s">
        <v>88</v>
      </c>
      <c r="GS55" s="54" t="s">
        <v>88</v>
      </c>
      <c r="GT55" s="54" t="s">
        <v>88</v>
      </c>
      <c r="GU55" s="54" t="s">
        <v>88</v>
      </c>
      <c r="GV55" s="54" t="s">
        <v>88</v>
      </c>
    </row>
    <row r="56">
      <c r="D56" s="53" t="str">
        <f t="array" ref="D56:E56">IF('Wątki'!B57=$A$1,INDIRECT("Klasa"),IF('Wątki'!B57=$A$2,INDIRECT("Grupa"),IF('Wątki'!B57=$A$3,INDIRECT("Postać"),"Nie")))</f>
        <v>Tak</v>
      </c>
      <c r="E56" s="53" t="s">
        <v>191</v>
      </c>
      <c r="F56" s="54" t="s">
        <v>89</v>
      </c>
      <c r="G56" s="54" t="s">
        <v>89</v>
      </c>
      <c r="H56" s="54" t="s">
        <v>89</v>
      </c>
      <c r="I56" s="54"/>
      <c r="J56" s="54" t="s">
        <v>89</v>
      </c>
      <c r="K56" s="54" t="s">
        <v>89</v>
      </c>
      <c r="L56" s="54" t="s">
        <v>89</v>
      </c>
      <c r="M56" s="54" t="s">
        <v>89</v>
      </c>
      <c r="N56" s="54" t="s">
        <v>89</v>
      </c>
      <c r="O56" s="54" t="s">
        <v>89</v>
      </c>
      <c r="P56" s="54" t="s">
        <v>89</v>
      </c>
      <c r="Q56" s="54" t="s">
        <v>89</v>
      </c>
      <c r="R56" s="54" t="s">
        <v>89</v>
      </c>
      <c r="S56" s="54" t="s">
        <v>89</v>
      </c>
      <c r="T56" s="54" t="s">
        <v>89</v>
      </c>
      <c r="U56" s="54" t="s">
        <v>89</v>
      </c>
      <c r="V56" s="54"/>
      <c r="W56" s="54" t="s">
        <v>89</v>
      </c>
      <c r="X56" s="54" t="s">
        <v>89</v>
      </c>
      <c r="Y56" s="54" t="s">
        <v>89</v>
      </c>
      <c r="Z56" s="54" t="s">
        <v>89</v>
      </c>
      <c r="AA56" s="54"/>
      <c r="AB56" s="54" t="s">
        <v>89</v>
      </c>
      <c r="AC56" s="54" t="s">
        <v>89</v>
      </c>
      <c r="AD56" s="54" t="s">
        <v>89</v>
      </c>
      <c r="AE56" s="54" t="s">
        <v>89</v>
      </c>
      <c r="AF56" s="54" t="s">
        <v>89</v>
      </c>
      <c r="AG56" s="54" t="s">
        <v>89</v>
      </c>
      <c r="AH56" s="54" t="s">
        <v>89</v>
      </c>
      <c r="AI56" s="54" t="s">
        <v>89</v>
      </c>
      <c r="AJ56" s="54" t="s">
        <v>89</v>
      </c>
      <c r="AK56" s="54" t="s">
        <v>89</v>
      </c>
      <c r="AL56" s="54"/>
      <c r="AM56" s="54" t="s">
        <v>89</v>
      </c>
      <c r="AN56" s="54" t="s">
        <v>89</v>
      </c>
      <c r="AO56" s="54" t="s">
        <v>89</v>
      </c>
      <c r="AP56" s="54" t="s">
        <v>89</v>
      </c>
      <c r="AQ56" s="54" t="s">
        <v>89</v>
      </c>
      <c r="AR56" s="54" t="s">
        <v>89</v>
      </c>
      <c r="AS56" s="54" t="s">
        <v>89</v>
      </c>
      <c r="AT56" s="54" t="s">
        <v>89</v>
      </c>
      <c r="AU56" s="54" t="s">
        <v>89</v>
      </c>
      <c r="AV56" s="54"/>
      <c r="AW56" s="54" t="s">
        <v>89</v>
      </c>
      <c r="AX56" s="54"/>
      <c r="AY56" s="54"/>
      <c r="AZ56" s="54"/>
      <c r="BA56" s="54"/>
      <c r="BB56" s="54"/>
      <c r="BC56" s="54"/>
      <c r="BD56" s="54"/>
      <c r="BE56" s="54"/>
      <c r="BF56" s="54"/>
      <c r="BG56" s="54"/>
      <c r="BH56" s="54"/>
      <c r="BI56" s="54"/>
      <c r="BJ56" s="54"/>
      <c r="BK56" s="54"/>
      <c r="BL56" s="54"/>
      <c r="BM56" s="54"/>
      <c r="BN56" s="54"/>
      <c r="BO56" s="54"/>
      <c r="BP56" s="54"/>
      <c r="BQ56" s="54" t="s">
        <v>89</v>
      </c>
      <c r="BR56" s="54" t="s">
        <v>89</v>
      </c>
      <c r="BS56" s="54" t="s">
        <v>89</v>
      </c>
      <c r="BT56" s="54"/>
      <c r="BU56" s="54" t="s">
        <v>89</v>
      </c>
      <c r="BV56" s="54" t="s">
        <v>89</v>
      </c>
      <c r="BW56" s="54"/>
      <c r="BX56" s="54" t="s">
        <v>89</v>
      </c>
      <c r="BY56" s="54" t="s">
        <v>89</v>
      </c>
      <c r="BZ56" s="54" t="s">
        <v>89</v>
      </c>
      <c r="CA56" s="54" t="s">
        <v>89</v>
      </c>
      <c r="CB56" s="54" t="s">
        <v>89</v>
      </c>
      <c r="CC56" s="54" t="s">
        <v>89</v>
      </c>
      <c r="CD56" s="54" t="s">
        <v>89</v>
      </c>
      <c r="CE56" s="54" t="s">
        <v>89</v>
      </c>
      <c r="CF56" s="54"/>
      <c r="CG56" s="54" t="s">
        <v>89</v>
      </c>
      <c r="CH56" s="54" t="s">
        <v>89</v>
      </c>
      <c r="CI56" s="54" t="s">
        <v>89</v>
      </c>
      <c r="CJ56" s="54" t="s">
        <v>89</v>
      </c>
      <c r="CK56" s="54" t="s">
        <v>89</v>
      </c>
      <c r="CL56" s="54" t="s">
        <v>89</v>
      </c>
      <c r="CM56" s="54"/>
      <c r="CN56" s="54"/>
      <c r="CO56" s="54" t="s">
        <v>89</v>
      </c>
      <c r="CP56" s="54" t="s">
        <v>89</v>
      </c>
      <c r="CQ56" s="54" t="s">
        <v>89</v>
      </c>
      <c r="CR56" s="54" t="s">
        <v>89</v>
      </c>
      <c r="CS56" s="54"/>
      <c r="CT56" s="54"/>
      <c r="CU56" s="54" t="s">
        <v>89</v>
      </c>
      <c r="CV56" s="54"/>
      <c r="CW56" s="54" t="s">
        <v>89</v>
      </c>
      <c r="CX56" s="54" t="s">
        <v>89</v>
      </c>
      <c r="CY56" s="54" t="s">
        <v>89</v>
      </c>
      <c r="CZ56" s="54"/>
      <c r="DA56" s="54" t="s">
        <v>89</v>
      </c>
      <c r="DB56" s="54" t="s">
        <v>89</v>
      </c>
      <c r="DC56" s="54"/>
      <c r="DD56" s="54"/>
      <c r="DE56" s="54"/>
      <c r="DF56" s="54" t="s">
        <v>89</v>
      </c>
      <c r="DG56" s="54" t="s">
        <v>89</v>
      </c>
      <c r="DH56" s="54" t="s">
        <v>89</v>
      </c>
      <c r="DI56" s="54" t="s">
        <v>89</v>
      </c>
      <c r="DJ56" s="54" t="s">
        <v>89</v>
      </c>
      <c r="DK56" s="54"/>
      <c r="DL56" s="54"/>
      <c r="DM56" s="54"/>
      <c r="DN56" s="54" t="s">
        <v>89</v>
      </c>
      <c r="DO56" s="54" t="s">
        <v>89</v>
      </c>
      <c r="DP56" s="54" t="s">
        <v>89</v>
      </c>
      <c r="DQ56" s="54"/>
      <c r="DR56" s="54" t="s">
        <v>89</v>
      </c>
      <c r="DS56" s="54" t="s">
        <v>89</v>
      </c>
      <c r="DT56" s="54" t="s">
        <v>89</v>
      </c>
      <c r="DU56" s="54" t="s">
        <v>89</v>
      </c>
      <c r="DV56" s="54" t="s">
        <v>89</v>
      </c>
      <c r="DW56" s="54"/>
      <c r="DX56" s="54"/>
      <c r="DY56" s="54"/>
      <c r="DZ56" s="54"/>
      <c r="EA56" s="54"/>
      <c r="EB56" s="54"/>
      <c r="EC56" s="54"/>
      <c r="ED56" s="54"/>
      <c r="EE56" s="54" t="s">
        <v>89</v>
      </c>
      <c r="EF56" s="54" t="s">
        <v>89</v>
      </c>
      <c r="EG56" s="54" t="s">
        <v>89</v>
      </c>
      <c r="EH56" s="54" t="s">
        <v>89</v>
      </c>
      <c r="EI56" s="54" t="s">
        <v>89</v>
      </c>
      <c r="EJ56" s="54" t="s">
        <v>89</v>
      </c>
      <c r="EK56" s="54" t="s">
        <v>89</v>
      </c>
      <c r="EL56" s="54" t="s">
        <v>89</v>
      </c>
      <c r="EM56" s="54" t="s">
        <v>89</v>
      </c>
      <c r="EN56" s="54" t="s">
        <v>89</v>
      </c>
      <c r="EO56" s="54" t="s">
        <v>89</v>
      </c>
      <c r="EP56" s="54"/>
      <c r="EQ56" s="54" t="s">
        <v>89</v>
      </c>
      <c r="ER56" s="54" t="s">
        <v>89</v>
      </c>
      <c r="ES56" s="54" t="s">
        <v>89</v>
      </c>
      <c r="ET56" s="54" t="s">
        <v>89</v>
      </c>
      <c r="EU56" s="54" t="s">
        <v>89</v>
      </c>
      <c r="EV56" s="54" t="s">
        <v>89</v>
      </c>
      <c r="EW56" s="54" t="s">
        <v>89</v>
      </c>
      <c r="EX56" s="54" t="s">
        <v>89</v>
      </c>
      <c r="EY56" s="54" t="s">
        <v>89</v>
      </c>
      <c r="EZ56" s="54" t="s">
        <v>89</v>
      </c>
      <c r="FA56" s="54" t="s">
        <v>89</v>
      </c>
      <c r="FB56" s="54" t="s">
        <v>89</v>
      </c>
      <c r="FC56" s="54" t="s">
        <v>89</v>
      </c>
      <c r="FD56" s="54" t="s">
        <v>89</v>
      </c>
      <c r="FE56" s="54" t="s">
        <v>89</v>
      </c>
      <c r="FF56" s="54" t="s">
        <v>89</v>
      </c>
      <c r="FG56" s="54" t="s">
        <v>89</v>
      </c>
      <c r="FH56" s="54" t="s">
        <v>89</v>
      </c>
      <c r="FI56" s="54" t="s">
        <v>89</v>
      </c>
      <c r="FJ56" s="54" t="s">
        <v>89</v>
      </c>
      <c r="FK56" s="54" t="s">
        <v>89</v>
      </c>
      <c r="FL56" s="54" t="s">
        <v>89</v>
      </c>
      <c r="FM56" s="54" t="s">
        <v>89</v>
      </c>
      <c r="FN56" s="54" t="s">
        <v>89</v>
      </c>
      <c r="FO56" s="54" t="s">
        <v>89</v>
      </c>
      <c r="FP56" s="54" t="s">
        <v>89</v>
      </c>
      <c r="FQ56" s="54" t="s">
        <v>89</v>
      </c>
      <c r="FR56" s="54" t="s">
        <v>89</v>
      </c>
      <c r="FS56" s="54" t="s">
        <v>89</v>
      </c>
      <c r="FT56" s="54" t="s">
        <v>89</v>
      </c>
      <c r="FU56" s="54" t="s">
        <v>89</v>
      </c>
      <c r="FV56" s="54" t="s">
        <v>89</v>
      </c>
      <c r="FW56" s="54" t="s">
        <v>89</v>
      </c>
      <c r="FX56" s="54" t="s">
        <v>89</v>
      </c>
      <c r="FY56" s="54" t="s">
        <v>89</v>
      </c>
      <c r="FZ56" s="54" t="s">
        <v>89</v>
      </c>
      <c r="GA56" s="54" t="s">
        <v>89</v>
      </c>
      <c r="GB56" s="54" t="s">
        <v>89</v>
      </c>
      <c r="GC56" s="54" t="s">
        <v>89</v>
      </c>
      <c r="GD56" s="54" t="s">
        <v>89</v>
      </c>
      <c r="GE56" s="54" t="s">
        <v>89</v>
      </c>
      <c r="GF56" s="54" t="s">
        <v>89</v>
      </c>
      <c r="GG56" s="54" t="s">
        <v>89</v>
      </c>
      <c r="GH56" s="54" t="s">
        <v>89</v>
      </c>
      <c r="GI56" s="54" t="s">
        <v>89</v>
      </c>
      <c r="GJ56" s="54" t="s">
        <v>89</v>
      </c>
      <c r="GK56" s="54" t="s">
        <v>89</v>
      </c>
      <c r="GL56" s="54" t="s">
        <v>89</v>
      </c>
      <c r="GM56" s="54" t="s">
        <v>89</v>
      </c>
      <c r="GN56" s="54" t="s">
        <v>89</v>
      </c>
      <c r="GO56" s="54" t="s">
        <v>89</v>
      </c>
      <c r="GP56" s="54" t="s">
        <v>89</v>
      </c>
      <c r="GQ56" s="54" t="s">
        <v>89</v>
      </c>
      <c r="GR56" s="54" t="s">
        <v>89</v>
      </c>
      <c r="GS56" s="54" t="s">
        <v>89</v>
      </c>
      <c r="GT56" s="54" t="s">
        <v>89</v>
      </c>
      <c r="GU56" s="54" t="s">
        <v>89</v>
      </c>
      <c r="GV56" s="54" t="s">
        <v>89</v>
      </c>
    </row>
    <row r="57">
      <c r="D57" s="53" t="str">
        <f t="array" ref="D57:E57">IF('Wątki'!B58=$A$1,INDIRECT("Klasa"),IF('Wątki'!B58=$A$2,INDIRECT("Grupa"),IF('Wątki'!B58=$A$3,INDIRECT("Postać"),"Nie")))</f>
        <v>Tak</v>
      </c>
      <c r="E57" s="53" t="s">
        <v>191</v>
      </c>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4"/>
      <c r="EX57" s="54"/>
      <c r="EY57" s="54"/>
      <c r="EZ57" s="54"/>
      <c r="FA57" s="54"/>
      <c r="FB57" s="54"/>
      <c r="FC57" s="54"/>
      <c r="FD57" s="54"/>
      <c r="FE57" s="54"/>
      <c r="FF57" s="54"/>
      <c r="FG57" s="54"/>
      <c r="FH57" s="54"/>
      <c r="FI57" s="54"/>
      <c r="FJ57" s="54"/>
      <c r="FK57" s="54"/>
      <c r="FL57" s="54"/>
      <c r="FM57" s="54"/>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row>
    <row r="58">
      <c r="D58" s="53" t="str">
        <f t="array" ref="D58:E58">IF('Wątki'!B59=$A$1,INDIRECT("Klasa"),IF('Wątki'!B59=$A$2,INDIRECT("Grupa"),IF('Wątki'!B59=$A$3,INDIRECT("Postać"),"Nie")))</f>
        <v>Tak</v>
      </c>
      <c r="E58" s="53" t="s">
        <v>191</v>
      </c>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4"/>
      <c r="EF58" s="54"/>
      <c r="EG58" s="54"/>
      <c r="EH58" s="54"/>
      <c r="EI58" s="54"/>
      <c r="EJ58" s="54"/>
      <c r="EK58" s="54"/>
      <c r="EL58" s="54"/>
      <c r="EM58" s="54"/>
      <c r="EN58" s="54"/>
      <c r="EO58" s="54"/>
      <c r="EP58" s="54"/>
      <c r="EQ58" s="54"/>
      <c r="ER58" s="54"/>
      <c r="ES58" s="54"/>
      <c r="ET58" s="54"/>
      <c r="EU58" s="54"/>
      <c r="EV58" s="54"/>
      <c r="EW58" s="54"/>
      <c r="EX58" s="54"/>
      <c r="EY58" s="54"/>
      <c r="EZ58" s="54"/>
      <c r="FA58" s="54"/>
      <c r="FB58" s="54"/>
      <c r="FC58" s="54"/>
      <c r="FD58" s="54"/>
      <c r="FE58" s="54"/>
      <c r="FF58" s="54"/>
      <c r="FG58" s="54"/>
      <c r="FH58" s="54"/>
      <c r="FI58" s="54"/>
      <c r="FJ58" s="54"/>
      <c r="FK58" s="54"/>
      <c r="FL58" s="54"/>
      <c r="FM58" s="54"/>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54"/>
      <c r="GU58" s="54"/>
      <c r="GV58" s="54"/>
    </row>
    <row r="59">
      <c r="D59" s="53" t="str">
        <f t="array" ref="D59:E59">IF('Wątki'!B60=$A$1,INDIRECT("Klasa"),IF('Wątki'!B60=$A$2,INDIRECT("Grupa"),IF('Wątki'!B60=$A$3,INDIRECT("Postać"),"Nie")))</f>
        <v>Tak</v>
      </c>
      <c r="E59" s="53" t="s">
        <v>191</v>
      </c>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row>
    <row r="60">
      <c r="D60" s="53" t="str">
        <f t="array" ref="D60:E60">IF('Wątki'!B61=$A$1,INDIRECT("Klasa"),IF('Wątki'!B61=$A$2,INDIRECT("Grupa"),IF('Wątki'!B61=$A$3,INDIRECT("Postać"),"Nie")))</f>
        <v>Tak</v>
      </c>
      <c r="E60" s="53" t="s">
        <v>191</v>
      </c>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4"/>
      <c r="EX60" s="54"/>
      <c r="EY60" s="54"/>
      <c r="EZ60" s="54"/>
      <c r="FA60" s="5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row>
    <row r="61">
      <c r="D61" s="53" t="str">
        <f t="array" ref="D61:E61">IF('Wątki'!B62=$A$1,INDIRECT("Klasa"),IF('Wątki'!B62=$A$2,INDIRECT("Grupa"),IF('Wątki'!B62=$A$3,INDIRECT("Postać"),"Nie")))</f>
        <v>Tak</v>
      </c>
      <c r="E61" s="53" t="s">
        <v>191</v>
      </c>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c r="DA61" s="54"/>
      <c r="DB61" s="54"/>
      <c r="DC61" s="54"/>
      <c r="DD61" s="54"/>
      <c r="DE61" s="54"/>
      <c r="DF61" s="54"/>
      <c r="DG61" s="54"/>
      <c r="DH61" s="54"/>
      <c r="DI61" s="54"/>
      <c r="DJ61" s="54"/>
      <c r="DK61" s="54"/>
      <c r="DL61" s="54"/>
      <c r="DM61" s="54"/>
      <c r="DN61" s="54"/>
      <c r="DO61" s="54"/>
      <c r="DP61" s="54"/>
      <c r="DQ61" s="54"/>
      <c r="DR61" s="54"/>
      <c r="DS61" s="54"/>
      <c r="DT61" s="54"/>
      <c r="DU61" s="54"/>
      <c r="DV61" s="54"/>
      <c r="DW61" s="54"/>
      <c r="DX61" s="54"/>
      <c r="DY61" s="54"/>
      <c r="DZ61" s="54"/>
      <c r="EA61" s="54"/>
      <c r="EB61" s="54"/>
      <c r="EC61" s="54"/>
      <c r="ED61" s="54"/>
      <c r="EE61" s="54"/>
      <c r="EF61" s="54"/>
      <c r="EG61" s="54"/>
      <c r="EH61" s="54"/>
      <c r="EI61" s="54"/>
      <c r="EJ61" s="54"/>
      <c r="EK61" s="54"/>
      <c r="EL61" s="54"/>
      <c r="EM61" s="54"/>
      <c r="EN61" s="54"/>
      <c r="EO61" s="54"/>
      <c r="EP61" s="54"/>
      <c r="EQ61" s="54"/>
      <c r="ER61" s="54"/>
      <c r="ES61" s="54"/>
      <c r="ET61" s="54"/>
      <c r="EU61" s="54"/>
      <c r="EV61" s="54"/>
      <c r="EW61" s="54"/>
      <c r="EX61" s="54"/>
      <c r="EY61" s="54"/>
      <c r="EZ61" s="54"/>
      <c r="FA61" s="54"/>
      <c r="FB61" s="54"/>
      <c r="FC61" s="54"/>
      <c r="FD61" s="54"/>
      <c r="FE61" s="54"/>
      <c r="FF61" s="54"/>
      <c r="FG61" s="54"/>
      <c r="FH61" s="54"/>
      <c r="FI61" s="54"/>
      <c r="FJ61" s="54"/>
      <c r="FK61" s="54"/>
      <c r="FL61" s="54"/>
      <c r="FM61" s="54"/>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row>
    <row r="62">
      <c r="D62" s="53" t="str">
        <f t="array" ref="D62:E62">IF('Wątki'!B63=$A$1,INDIRECT("Klasa"),IF('Wątki'!B63=$A$2,INDIRECT("Grupa"),IF('Wątki'!B63=$A$3,INDIRECT("Postać"),"Nie")))</f>
        <v>Tak</v>
      </c>
      <c r="E62" s="53" t="s">
        <v>191</v>
      </c>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4"/>
      <c r="EX62" s="54"/>
      <c r="EY62" s="54"/>
      <c r="EZ62" s="54"/>
      <c r="FA62" s="54"/>
      <c r="FB62" s="54"/>
      <c r="FC62" s="54"/>
      <c r="FD62" s="54"/>
      <c r="FE62" s="54"/>
      <c r="FF62" s="54"/>
      <c r="FG62" s="54"/>
      <c r="FH62" s="54"/>
      <c r="FI62" s="54"/>
      <c r="FJ62" s="54"/>
      <c r="FK62" s="54"/>
      <c r="FL62" s="54"/>
      <c r="FM62" s="54"/>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row>
    <row r="63">
      <c r="D63" s="53" t="str">
        <f t="array" ref="D63:E63">IF('Wątki'!B64=$A$1,INDIRECT("Klasa"),IF('Wątki'!B64=$A$2,INDIRECT("Grupa"),IF('Wątki'!B64=$A$3,INDIRECT("Postać"),"Nie")))</f>
        <v>Tak</v>
      </c>
      <c r="E63" s="53" t="s">
        <v>191</v>
      </c>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4"/>
      <c r="EX63" s="54"/>
      <c r="EY63" s="54"/>
      <c r="EZ63" s="54"/>
      <c r="FA63" s="54"/>
      <c r="FB63" s="54"/>
      <c r="FC63" s="54"/>
      <c r="FD63" s="54"/>
      <c r="FE63" s="54"/>
      <c r="FF63" s="54"/>
      <c r="FG63" s="54"/>
      <c r="FH63" s="54"/>
      <c r="FI63" s="54"/>
      <c r="FJ63" s="54"/>
      <c r="FK63" s="54"/>
      <c r="FL63" s="54"/>
      <c r="FM63" s="54"/>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row>
    <row r="64">
      <c r="D64" s="53" t="str">
        <f t="array" ref="D64">IF('Wątki'!B65=$A$1,INDIRECT("Klasa"),IF('Wątki'!B65=$A$2,INDIRECT("Grupa"),IF('Wątki'!B65=$A$3,INDIRECT("Postać"),"Nie")))</f>
        <v>Nie</v>
      </c>
      <c r="E64" s="53"/>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54"/>
      <c r="EM64" s="54"/>
      <c r="EN64" s="54"/>
      <c r="EO64" s="54"/>
      <c r="EP64" s="54"/>
      <c r="EQ64" s="54"/>
      <c r="ER64" s="54"/>
      <c r="ES64" s="54"/>
      <c r="ET64" s="54"/>
      <c r="EU64" s="54"/>
      <c r="EV64" s="54"/>
      <c r="EW64" s="54"/>
      <c r="EX64" s="54"/>
      <c r="EY64" s="54"/>
      <c r="EZ64" s="54"/>
      <c r="FA64" s="54"/>
      <c r="FB64" s="54"/>
      <c r="FC64" s="54"/>
      <c r="FD64" s="54"/>
      <c r="FE64" s="54"/>
      <c r="FF64" s="54"/>
      <c r="FG64" s="54"/>
      <c r="FH64" s="54"/>
      <c r="FI64" s="54"/>
      <c r="FJ64" s="54"/>
      <c r="FK64" s="54"/>
      <c r="FL64" s="54"/>
      <c r="FM64" s="54"/>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row>
    <row r="65">
      <c r="D65" s="53" t="str">
        <f t="array" ref="D65">IF('Wątki'!B66=$A$1,INDIRECT("Klasa"),IF('Wątki'!B66=$A$2,INDIRECT("Grupa"),IF('Wątki'!B66=$A$3,INDIRECT("Postać"),"Nie")))</f>
        <v>Nie</v>
      </c>
      <c r="E65" s="53"/>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row>
    <row r="66">
      <c r="D66" s="53" t="str">
        <f t="array" ref="D66">IF('Wątki'!B67=$A$1,INDIRECT("Klasa"),IF('Wątki'!B67=$A$2,INDIRECT("Grupa"),IF('Wątki'!B67=$A$3,INDIRECT("Postać"),"Nie")))</f>
        <v>Nie</v>
      </c>
      <c r="E66" s="53"/>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row>
    <row r="67">
      <c r="D67" s="53" t="str">
        <f t="array" ref="D67:E67">IF('Wątki'!B68=$A$1,INDIRECT("Klasa"),IF('Wątki'!B68=$A$2,INDIRECT("Grupa"),IF('Wątki'!B68=$A$3,INDIRECT("Postać"),"Nie")))</f>
        <v>Tak</v>
      </c>
      <c r="E67" s="53" t="s">
        <v>191</v>
      </c>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4"/>
      <c r="EF67" s="54"/>
      <c r="EG67" s="54"/>
      <c r="EH67" s="54"/>
      <c r="EI67" s="54"/>
      <c r="EJ67" s="54"/>
      <c r="EK67" s="54"/>
      <c r="EL67" s="54"/>
      <c r="EM67" s="54"/>
      <c r="EN67" s="54"/>
      <c r="EO67" s="54"/>
      <c r="EP67" s="54"/>
      <c r="EQ67" s="54"/>
      <c r="ER67" s="54"/>
      <c r="ES67" s="54"/>
      <c r="ET67" s="54"/>
      <c r="EU67" s="54"/>
      <c r="EV67" s="54"/>
      <c r="EW67" s="54"/>
      <c r="EX67" s="54"/>
      <c r="EY67" s="54"/>
      <c r="EZ67" s="54"/>
      <c r="FA67" s="54"/>
      <c r="FB67" s="54"/>
      <c r="FC67" s="54"/>
      <c r="FD67" s="54"/>
      <c r="FE67" s="54"/>
      <c r="FF67" s="54"/>
      <c r="FG67" s="54"/>
      <c r="FH67" s="54"/>
      <c r="FI67" s="54"/>
      <c r="FJ67" s="54"/>
      <c r="FK67" s="54"/>
      <c r="FL67" s="54"/>
      <c r="FM67" s="54"/>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row>
    <row r="68">
      <c r="D68" s="53" t="str">
        <f t="array" ref="D68">IF('Wątki'!B69=$A$1,INDIRECT("Klasa"),IF('Wątki'!B69=$A$2,INDIRECT("Grupa"),IF('Wątki'!B69=$A$3,INDIRECT("Postać"),"Nie")))</f>
        <v>Nie</v>
      </c>
      <c r="E68" s="53"/>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row>
    <row r="69">
      <c r="D69" s="53" t="str">
        <f t="array" ref="D69">IF('Wątki'!B70=$A$1,INDIRECT("Klasa"),IF('Wątki'!B70=$A$2,INDIRECT("Grupa"),IF('Wątki'!B70=$A$3,INDIRECT("Postać"),"Nie")))</f>
        <v>Nie</v>
      </c>
      <c r="E69" s="53"/>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row>
    <row r="70">
      <c r="D70" s="53" t="str">
        <f t="array" ref="D70:E70">IF('Wątki'!B71=$A$1,INDIRECT("Klasa"),IF('Wątki'!B71=$A$2,INDIRECT("Grupa"),IF('Wątki'!B71=$A$3,INDIRECT("Postać"),"Nie")))</f>
        <v>Tak</v>
      </c>
      <c r="E70" s="53" t="s">
        <v>191</v>
      </c>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4"/>
      <c r="EF70" s="54"/>
      <c r="EG70" s="54"/>
      <c r="EH70" s="54"/>
      <c r="EI70" s="54"/>
      <c r="EJ70" s="54"/>
      <c r="EK70" s="54"/>
      <c r="EL70" s="54"/>
      <c r="EM70" s="54"/>
      <c r="EN70" s="54"/>
      <c r="EO70" s="54"/>
      <c r="EP70" s="54"/>
      <c r="EQ70" s="54"/>
      <c r="ER70" s="54"/>
      <c r="ES70" s="54"/>
      <c r="ET70" s="54"/>
      <c r="EU70" s="54"/>
      <c r="EV70" s="54"/>
      <c r="EW70" s="54"/>
      <c r="EX70" s="54"/>
      <c r="EY70" s="54"/>
      <c r="EZ70" s="54"/>
      <c r="FA70" s="54"/>
      <c r="FB70" s="54"/>
      <c r="FC70" s="54"/>
      <c r="FD70" s="54"/>
      <c r="FE70" s="54"/>
      <c r="FF70" s="54"/>
      <c r="FG70" s="54"/>
      <c r="FH70" s="54"/>
      <c r="FI70" s="54"/>
      <c r="FJ70" s="54"/>
      <c r="FK70" s="54"/>
      <c r="FL70" s="54"/>
      <c r="FM70" s="54"/>
      <c r="FN70" s="54"/>
      <c r="FO70" s="54"/>
      <c r="FP70" s="54"/>
      <c r="FQ70" s="54"/>
      <c r="FR70" s="54"/>
      <c r="FS70" s="54"/>
      <c r="FT70" s="54"/>
      <c r="FU70" s="54"/>
      <c r="FV70" s="54"/>
      <c r="FW70" s="54"/>
      <c r="FX70" s="54"/>
      <c r="FY70" s="54"/>
      <c r="FZ70" s="54"/>
      <c r="GA70" s="54"/>
      <c r="GB70" s="54"/>
      <c r="GC70" s="54"/>
      <c r="GD70" s="54"/>
      <c r="GE70" s="54"/>
      <c r="GF70" s="54"/>
      <c r="GG70" s="54"/>
      <c r="GH70" s="54"/>
      <c r="GI70" s="54"/>
      <c r="GJ70" s="54"/>
      <c r="GK70" s="54"/>
      <c r="GL70" s="54"/>
      <c r="GM70" s="54"/>
      <c r="GN70" s="54"/>
      <c r="GO70" s="54"/>
      <c r="GP70" s="54"/>
      <c r="GQ70" s="54"/>
      <c r="GR70" s="54"/>
      <c r="GS70" s="54"/>
      <c r="GT70" s="54"/>
      <c r="GU70" s="54"/>
      <c r="GV70" s="54"/>
    </row>
    <row r="71">
      <c r="D71" s="53" t="str">
        <f t="array" ref="D71">IF('Wątki'!B72=$A$1,INDIRECT("Klasa"),IF('Wątki'!B72=$A$2,INDIRECT("Grupa"),IF('Wątki'!B72=$A$3,INDIRECT("Postać"),"Nie")))</f>
        <v>Nie</v>
      </c>
      <c r="E71" s="53"/>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row>
    <row r="72">
      <c r="D72" s="53" t="str">
        <f t="array" ref="D72">IF('Wątki'!B73=$A$1,INDIRECT("Klasa"),IF('Wątki'!B73=$A$2,INDIRECT("Grupa"),IF('Wątki'!B73=$A$3,INDIRECT("Postać"),"Nie")))</f>
        <v>Nie</v>
      </c>
      <c r="E72" s="53"/>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c r="FD72" s="54"/>
      <c r="FE72" s="54"/>
      <c r="FF72" s="54"/>
      <c r="FG72" s="54"/>
      <c r="FH72" s="54"/>
      <c r="FI72" s="54"/>
      <c r="FJ72" s="54"/>
      <c r="FK72" s="54"/>
      <c r="FL72" s="54"/>
      <c r="FM72" s="54"/>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row>
    <row r="73">
      <c r="D73" s="53" t="str">
        <f t="array" ref="D73">IF('Wątki'!B74=$A$1,INDIRECT("Klasa"),IF('Wątki'!B74=$A$2,INDIRECT("Grupa"),IF('Wątki'!B74=$A$3,INDIRECT("Postać"),"Nie")))</f>
        <v>Nie</v>
      </c>
      <c r="E73" s="53"/>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4"/>
      <c r="EF73" s="54"/>
      <c r="EG73" s="54"/>
      <c r="EH73" s="54"/>
      <c r="EI73" s="54"/>
      <c r="EJ73" s="54"/>
      <c r="EK73" s="54"/>
      <c r="EL73" s="54"/>
      <c r="EM73" s="54"/>
      <c r="EN73" s="54"/>
      <c r="EO73" s="54"/>
      <c r="EP73" s="54"/>
      <c r="EQ73" s="54"/>
      <c r="ER73" s="54"/>
      <c r="ES73" s="54"/>
      <c r="ET73" s="54"/>
      <c r="EU73" s="54"/>
      <c r="EV73" s="54"/>
      <c r="EW73" s="54"/>
      <c r="EX73" s="54"/>
      <c r="EY73" s="54"/>
      <c r="EZ73" s="54"/>
      <c r="FA73" s="54"/>
      <c r="FB73" s="54"/>
      <c r="FC73" s="54"/>
      <c r="FD73" s="54"/>
      <c r="FE73" s="54"/>
      <c r="FF73" s="54"/>
      <c r="FG73" s="54"/>
      <c r="FH73" s="54"/>
      <c r="FI73" s="54"/>
      <c r="FJ73" s="54"/>
      <c r="FK73" s="54"/>
      <c r="FL73" s="54"/>
      <c r="FM73" s="54"/>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row>
    <row r="74">
      <c r="D74" s="53" t="str">
        <f t="array" ref="D74">IF('Wątki'!B75=$A$1,INDIRECT("Klasa"),IF('Wątki'!B75=$A$2,INDIRECT("Grupa"),IF('Wątki'!B75=$A$3,INDIRECT("Postać"),"Nie")))</f>
        <v>Nie</v>
      </c>
      <c r="E74" s="53"/>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row>
    <row r="75">
      <c r="D75" s="53" t="str">
        <f t="array" ref="D75">IF('Wątki'!B76=$A$1,INDIRECT("Klasa"),IF('Wątki'!B76=$A$2,INDIRECT("Grupa"),IF('Wątki'!B76=$A$3,INDIRECT("Postać"),"Nie")))</f>
        <v>Nie</v>
      </c>
      <c r="E75" s="53"/>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row>
    <row r="76">
      <c r="D76" s="53" t="str">
        <f t="array" ref="D76">IF('Wątki'!B77=$A$1,INDIRECT("Klasa"),IF('Wątki'!B77=$A$2,INDIRECT("Grupa"),IF('Wątki'!B77=$A$3,INDIRECT("Postać"),"Nie")))</f>
        <v>Nie</v>
      </c>
      <c r="E76" s="53"/>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c r="FR76" s="54"/>
      <c r="FS76" s="54"/>
      <c r="FT76" s="54"/>
      <c r="FU76" s="54"/>
      <c r="FV76" s="54"/>
      <c r="FW76" s="54"/>
      <c r="FX76" s="54"/>
      <c r="FY76" s="54"/>
      <c r="FZ76" s="54"/>
      <c r="GA76" s="54"/>
      <c r="GB76" s="54"/>
      <c r="GC76" s="54"/>
      <c r="GD76" s="54"/>
      <c r="GE76" s="54"/>
      <c r="GF76" s="54"/>
      <c r="GG76" s="54"/>
      <c r="GH76" s="54"/>
      <c r="GI76" s="54"/>
      <c r="GJ76" s="54"/>
      <c r="GK76" s="54"/>
      <c r="GL76" s="54"/>
      <c r="GM76" s="54"/>
      <c r="GN76" s="54"/>
      <c r="GO76" s="54"/>
      <c r="GP76" s="54"/>
      <c r="GQ76" s="54"/>
      <c r="GR76" s="54"/>
      <c r="GS76" s="54"/>
      <c r="GT76" s="54"/>
      <c r="GU76" s="54"/>
      <c r="GV76" s="54"/>
    </row>
    <row r="77">
      <c r="D77" s="53" t="str">
        <f t="array" ref="D77">IF('Wątki'!B78=$A$1,INDIRECT("Klasa"),IF('Wątki'!B78=$A$2,INDIRECT("Grupa"),IF('Wątki'!B78=$A$3,INDIRECT("Postać"),"Nie")))</f>
        <v>Nie</v>
      </c>
      <c r="E77" s="53"/>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row>
    <row r="78">
      <c r="D78" s="53" t="str">
        <f t="array" ref="D78">IF('Wątki'!B79=$A$1,INDIRECT("Klasa"),IF('Wątki'!B79=$A$2,INDIRECT("Grupa"),IF('Wątki'!B79=$A$3,INDIRECT("Postać"),"Nie")))</f>
        <v>Nie</v>
      </c>
      <c r="E78" s="53"/>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row>
    <row r="79">
      <c r="D79" s="53" t="str">
        <f t="array" ref="D79:E79">IF('Wątki'!B80=$A$1,INDIRECT("Klasa"),IF('Wątki'!B80=$A$2,INDIRECT("Grupa"),IF('Wątki'!B80=$A$3,INDIRECT("Postać"),"Nie")))</f>
        <v>Tak</v>
      </c>
      <c r="E79" s="53" t="s">
        <v>191</v>
      </c>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c r="CX79" s="54"/>
      <c r="CY79" s="54"/>
      <c r="CZ79" s="54"/>
      <c r="DA79" s="54"/>
      <c r="DB79" s="54"/>
      <c r="DC79" s="54"/>
      <c r="DD79" s="54"/>
      <c r="DE79" s="54"/>
      <c r="DF79" s="54"/>
      <c r="DG79" s="54"/>
      <c r="DH79" s="54"/>
      <c r="DI79" s="54"/>
      <c r="DJ79" s="54"/>
      <c r="DK79" s="54"/>
      <c r="DL79" s="54"/>
      <c r="DM79" s="54"/>
      <c r="DN79" s="54"/>
      <c r="DO79" s="54"/>
      <c r="DP79" s="54"/>
      <c r="DQ79" s="54"/>
      <c r="DR79" s="54"/>
      <c r="DS79" s="54"/>
      <c r="DT79" s="54"/>
      <c r="DU79" s="54"/>
      <c r="DV79" s="54"/>
      <c r="DW79" s="54"/>
      <c r="DX79" s="54"/>
      <c r="DY79" s="54"/>
      <c r="DZ79" s="54"/>
      <c r="EA79" s="54"/>
      <c r="EB79" s="54"/>
      <c r="EC79" s="54"/>
      <c r="ED79" s="54"/>
      <c r="EE79" s="54"/>
      <c r="EF79" s="54"/>
      <c r="EG79" s="54"/>
      <c r="EH79" s="54"/>
      <c r="EI79" s="54"/>
      <c r="EJ79" s="54"/>
      <c r="EK79" s="54"/>
      <c r="EL79" s="54"/>
      <c r="EM79" s="54"/>
      <c r="EN79" s="54"/>
      <c r="EO79" s="54"/>
      <c r="EP79" s="54"/>
      <c r="EQ79" s="54"/>
      <c r="ER79" s="54"/>
      <c r="ES79" s="54"/>
      <c r="ET79" s="54"/>
      <c r="EU79" s="54"/>
      <c r="EV79" s="54"/>
      <c r="EW79" s="54"/>
      <c r="EX79" s="54"/>
      <c r="EY79" s="54"/>
      <c r="EZ79" s="54"/>
      <c r="FA79" s="54"/>
      <c r="FB79" s="54"/>
      <c r="FC79" s="54"/>
      <c r="FD79" s="54"/>
      <c r="FE79" s="54"/>
      <c r="FF79" s="54"/>
      <c r="FG79" s="54"/>
      <c r="FH79" s="54"/>
      <c r="FI79" s="54"/>
      <c r="FJ79" s="54"/>
      <c r="FK79" s="54"/>
      <c r="FL79" s="54"/>
      <c r="FM79" s="54"/>
      <c r="FN79" s="54"/>
      <c r="FO79" s="54"/>
      <c r="FP79" s="54"/>
      <c r="FQ79" s="54"/>
      <c r="FR79" s="54"/>
      <c r="FS79" s="54"/>
      <c r="FT79" s="54"/>
      <c r="FU79" s="54"/>
      <c r="FV79" s="54"/>
      <c r="FW79" s="54"/>
      <c r="FX79" s="54"/>
      <c r="FY79" s="54"/>
      <c r="FZ79" s="54"/>
      <c r="GA79" s="54"/>
      <c r="GB79" s="54"/>
      <c r="GC79" s="54"/>
      <c r="GD79" s="54"/>
      <c r="GE79" s="54"/>
      <c r="GF79" s="54"/>
      <c r="GG79" s="54"/>
      <c r="GH79" s="54"/>
      <c r="GI79" s="54"/>
      <c r="GJ79" s="54"/>
      <c r="GK79" s="54"/>
      <c r="GL79" s="54"/>
      <c r="GM79" s="54"/>
      <c r="GN79" s="54"/>
      <c r="GO79" s="54"/>
      <c r="GP79" s="54"/>
      <c r="GQ79" s="54"/>
      <c r="GR79" s="54"/>
      <c r="GS79" s="54"/>
      <c r="GT79" s="54"/>
      <c r="GU79" s="54"/>
      <c r="GV79" s="54"/>
    </row>
    <row r="80">
      <c r="D80" s="53" t="str">
        <f t="array" ref="D80">IF('Wątki'!B81=$A$1,INDIRECT("Klasa"),IF('Wątki'!B81=$A$2,INDIRECT("Grupa"),IF('Wątki'!B81=$A$3,INDIRECT("Postać"),"Nie")))</f>
        <v>Nie</v>
      </c>
      <c r="E80" s="53"/>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4"/>
      <c r="EX80" s="54"/>
      <c r="EY80" s="54"/>
      <c r="EZ80" s="54"/>
      <c r="FA80" s="54"/>
      <c r="FB80" s="54"/>
      <c r="FC80" s="54"/>
      <c r="FD80" s="54"/>
      <c r="FE80" s="54"/>
      <c r="FF80" s="54"/>
      <c r="FG80" s="54"/>
      <c r="FH80" s="54"/>
      <c r="FI80" s="54"/>
      <c r="FJ80" s="54"/>
      <c r="FK80" s="54"/>
      <c r="FL80" s="54"/>
      <c r="FM80" s="54"/>
      <c r="FN80" s="54"/>
      <c r="FO80" s="54"/>
      <c r="FP80" s="54"/>
      <c r="FQ80" s="54"/>
      <c r="FR80" s="54"/>
      <c r="FS80" s="54"/>
      <c r="FT80" s="54"/>
      <c r="FU80" s="54"/>
      <c r="FV80" s="54"/>
      <c r="FW80" s="54"/>
      <c r="FX80" s="54"/>
      <c r="FY80" s="54"/>
      <c r="FZ80" s="54"/>
      <c r="GA80" s="54"/>
      <c r="GB80" s="54"/>
      <c r="GC80" s="54"/>
      <c r="GD80" s="54"/>
      <c r="GE80" s="54"/>
      <c r="GF80" s="54"/>
      <c r="GG80" s="54"/>
      <c r="GH80" s="54"/>
      <c r="GI80" s="54"/>
      <c r="GJ80" s="54"/>
      <c r="GK80" s="54"/>
      <c r="GL80" s="54"/>
      <c r="GM80" s="54"/>
      <c r="GN80" s="54"/>
      <c r="GO80" s="54"/>
      <c r="GP80" s="54"/>
      <c r="GQ80" s="54"/>
      <c r="GR80" s="54"/>
      <c r="GS80" s="54"/>
      <c r="GT80" s="54"/>
      <c r="GU80" s="54"/>
      <c r="GV80" s="54"/>
    </row>
    <row r="81">
      <c r="D81" s="53" t="str">
        <f t="array" ref="D81">IF('Wątki'!B82=$A$1,INDIRECT("Klasa"),IF('Wątki'!B82=$A$2,INDIRECT("Grupa"),IF('Wątki'!B82=$A$3,INDIRECT("Postać"),"Nie")))</f>
        <v>Nie</v>
      </c>
      <c r="E81" s="53"/>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row>
    <row r="82">
      <c r="D82" s="53" t="str">
        <f t="array" ref="D82">IF('Wątki'!B83=$A$1,INDIRECT("Klasa"),IF('Wątki'!B83=$A$2,INDIRECT("Grupa"),IF('Wątki'!B83=$A$3,INDIRECT("Postać"),"Nie")))</f>
        <v>Nie</v>
      </c>
      <c r="E82" s="53"/>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c r="CX82" s="54"/>
      <c r="CY82" s="54"/>
      <c r="CZ82" s="54"/>
      <c r="DA82" s="54"/>
      <c r="DB82" s="54"/>
      <c r="DC82" s="54"/>
      <c r="DD82" s="54"/>
      <c r="DE82" s="54"/>
      <c r="DF82" s="54"/>
      <c r="DG82" s="54"/>
      <c r="DH82" s="54"/>
      <c r="DI82" s="54"/>
      <c r="DJ82" s="54"/>
      <c r="DK82" s="54"/>
      <c r="DL82" s="54"/>
      <c r="DM82" s="54"/>
      <c r="DN82" s="54"/>
      <c r="DO82" s="54"/>
      <c r="DP82" s="54"/>
      <c r="DQ82" s="54"/>
      <c r="DR82" s="54"/>
      <c r="DS82" s="54"/>
      <c r="DT82" s="54"/>
      <c r="DU82" s="54"/>
      <c r="DV82" s="54"/>
      <c r="DW82" s="54"/>
      <c r="DX82" s="54"/>
      <c r="DY82" s="54"/>
      <c r="DZ82" s="54"/>
      <c r="EA82" s="54"/>
      <c r="EB82" s="54"/>
      <c r="EC82" s="54"/>
      <c r="ED82" s="54"/>
      <c r="EE82" s="54"/>
      <c r="EF82" s="54"/>
      <c r="EG82" s="54"/>
      <c r="EH82" s="54"/>
      <c r="EI82" s="54"/>
      <c r="EJ82" s="54"/>
      <c r="EK82" s="54"/>
      <c r="EL82" s="54"/>
      <c r="EM82" s="54"/>
      <c r="EN82" s="54"/>
      <c r="EO82" s="54"/>
      <c r="EP82" s="54"/>
      <c r="EQ82" s="54"/>
      <c r="ER82" s="54"/>
      <c r="ES82" s="54"/>
      <c r="ET82" s="54"/>
      <c r="EU82" s="54"/>
      <c r="EV82" s="54"/>
      <c r="EW82" s="54"/>
      <c r="EX82" s="54"/>
      <c r="EY82" s="54"/>
      <c r="EZ82" s="54"/>
      <c r="FA82" s="54"/>
      <c r="FB82" s="54"/>
      <c r="FC82" s="54"/>
      <c r="FD82" s="54"/>
      <c r="FE82" s="54"/>
      <c r="FF82" s="54"/>
      <c r="FG82" s="54"/>
      <c r="FH82" s="54"/>
      <c r="FI82" s="54"/>
      <c r="FJ82" s="54"/>
      <c r="FK82" s="54"/>
      <c r="FL82" s="54"/>
      <c r="FM82" s="54"/>
      <c r="FN82" s="54"/>
      <c r="FO82" s="54"/>
      <c r="FP82" s="54"/>
      <c r="FQ82" s="54"/>
      <c r="FR82" s="54"/>
      <c r="FS82" s="54"/>
      <c r="FT82" s="54"/>
      <c r="FU82" s="54"/>
      <c r="FV82" s="54"/>
      <c r="FW82" s="54"/>
      <c r="FX82" s="54"/>
      <c r="FY82" s="54"/>
      <c r="FZ82" s="54"/>
      <c r="GA82" s="54"/>
      <c r="GB82" s="54"/>
      <c r="GC82" s="54"/>
      <c r="GD82" s="54"/>
      <c r="GE82" s="54"/>
      <c r="GF82" s="54"/>
      <c r="GG82" s="54"/>
      <c r="GH82" s="54"/>
      <c r="GI82" s="54"/>
      <c r="GJ82" s="54"/>
      <c r="GK82" s="54"/>
      <c r="GL82" s="54"/>
      <c r="GM82" s="54"/>
      <c r="GN82" s="54"/>
      <c r="GO82" s="54"/>
      <c r="GP82" s="54"/>
      <c r="GQ82" s="54"/>
      <c r="GR82" s="54"/>
      <c r="GS82" s="54"/>
      <c r="GT82" s="54"/>
      <c r="GU82" s="54"/>
      <c r="GV82" s="54"/>
    </row>
    <row r="83">
      <c r="D83" s="53" t="str">
        <f t="array" ref="D83">IF('Wątki'!B84=$A$1,INDIRECT("Klasa"),IF('Wątki'!B84=$A$2,INDIRECT("Grupa"),IF('Wątki'!B84=$A$3,INDIRECT("Postać"),"Nie")))</f>
        <v>Nie</v>
      </c>
      <c r="E83" s="53"/>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4"/>
      <c r="EX83" s="54"/>
      <c r="EY83" s="54"/>
      <c r="EZ83" s="54"/>
      <c r="FA83" s="54"/>
      <c r="FB83" s="54"/>
      <c r="FC83" s="54"/>
      <c r="FD83" s="54"/>
      <c r="FE83" s="54"/>
      <c r="FF83" s="54"/>
      <c r="FG83" s="54"/>
      <c r="FH83" s="54"/>
      <c r="FI83" s="54"/>
      <c r="FJ83" s="54"/>
      <c r="FK83" s="54"/>
      <c r="FL83" s="54"/>
      <c r="FM83" s="54"/>
      <c r="FN83" s="54"/>
      <c r="FO83" s="54"/>
      <c r="FP83" s="54"/>
      <c r="FQ83" s="54"/>
      <c r="FR83" s="54"/>
      <c r="FS83" s="54"/>
      <c r="FT83" s="54"/>
      <c r="FU83" s="54"/>
      <c r="FV83" s="54"/>
      <c r="FW83" s="54"/>
      <c r="FX83" s="54"/>
      <c r="FY83" s="54"/>
      <c r="FZ83" s="54"/>
      <c r="GA83" s="54"/>
      <c r="GB83" s="54"/>
      <c r="GC83" s="54"/>
      <c r="GD83" s="54"/>
      <c r="GE83" s="54"/>
      <c r="GF83" s="54"/>
      <c r="GG83" s="54"/>
      <c r="GH83" s="54"/>
      <c r="GI83" s="54"/>
      <c r="GJ83" s="54"/>
      <c r="GK83" s="54"/>
      <c r="GL83" s="54"/>
      <c r="GM83" s="54"/>
      <c r="GN83" s="54"/>
      <c r="GO83" s="54"/>
      <c r="GP83" s="54"/>
      <c r="GQ83" s="54"/>
      <c r="GR83" s="54"/>
      <c r="GS83" s="54"/>
      <c r="GT83" s="54"/>
      <c r="GU83" s="54"/>
      <c r="GV83" s="54"/>
    </row>
    <row r="84">
      <c r="D84" s="53" t="str">
        <f t="array" ref="D84">IF('Wątki'!B85=$A$1,INDIRECT("Klasa"),IF('Wątki'!B85=$A$2,INDIRECT("Grupa"),IF('Wątki'!B85=$A$3,INDIRECT("Postać"),"Nie")))</f>
        <v>Nie</v>
      </c>
      <c r="E84" s="53"/>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row>
    <row r="85">
      <c r="D85" s="53" t="str">
        <f t="array" ref="D85">IF('Wątki'!B86=$A$1,INDIRECT("Klasa"),IF('Wątki'!B86=$A$2,INDIRECT("Grupa"),IF('Wątki'!B86=$A$3,INDIRECT("Postać"),"Nie")))</f>
        <v>Nie</v>
      </c>
      <c r="E85" s="53"/>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4"/>
      <c r="EF85" s="54"/>
      <c r="EG85" s="54"/>
      <c r="EH85" s="54"/>
      <c r="EI85" s="54"/>
      <c r="EJ85" s="54"/>
      <c r="EK85" s="54"/>
      <c r="EL85" s="54"/>
      <c r="EM85" s="54"/>
      <c r="EN85" s="54"/>
      <c r="EO85" s="54"/>
      <c r="EP85" s="54"/>
      <c r="EQ85" s="54"/>
      <c r="ER85" s="54"/>
      <c r="ES85" s="54"/>
      <c r="ET85" s="54"/>
      <c r="EU85" s="54"/>
      <c r="EV85" s="54"/>
      <c r="EW85" s="54"/>
      <c r="EX85" s="54"/>
      <c r="EY85" s="54"/>
      <c r="EZ85" s="54"/>
      <c r="FA85" s="54"/>
      <c r="FB85" s="54"/>
      <c r="FC85" s="54"/>
      <c r="FD85" s="54"/>
      <c r="FE85" s="54"/>
      <c r="FF85" s="54"/>
      <c r="FG85" s="54"/>
      <c r="FH85" s="54"/>
      <c r="FI85" s="54"/>
      <c r="FJ85" s="54"/>
      <c r="FK85" s="54"/>
      <c r="FL85" s="54"/>
      <c r="FM85" s="54"/>
      <c r="FN85" s="54"/>
      <c r="FO85" s="54"/>
      <c r="FP85" s="54"/>
      <c r="FQ85" s="54"/>
      <c r="FR85" s="54"/>
      <c r="FS85" s="54"/>
      <c r="FT85" s="54"/>
      <c r="FU85" s="54"/>
      <c r="FV85" s="54"/>
      <c r="FW85" s="54"/>
      <c r="FX85" s="54"/>
      <c r="FY85" s="54"/>
      <c r="FZ85" s="54"/>
      <c r="GA85" s="54"/>
      <c r="GB85" s="54"/>
      <c r="GC85" s="54"/>
      <c r="GD85" s="54"/>
      <c r="GE85" s="54"/>
      <c r="GF85" s="54"/>
      <c r="GG85" s="54"/>
      <c r="GH85" s="54"/>
      <c r="GI85" s="54"/>
      <c r="GJ85" s="54"/>
      <c r="GK85" s="54"/>
      <c r="GL85" s="54"/>
      <c r="GM85" s="54"/>
      <c r="GN85" s="54"/>
      <c r="GO85" s="54"/>
      <c r="GP85" s="54"/>
      <c r="GQ85" s="54"/>
      <c r="GR85" s="54"/>
      <c r="GS85" s="54"/>
      <c r="GT85" s="54"/>
      <c r="GU85" s="54"/>
      <c r="GV85" s="54"/>
    </row>
    <row r="86">
      <c r="D86" s="53" t="str">
        <f t="array" ref="D86:E86">IF('Wątki'!B87=$A$1,INDIRECT("Klasa"),IF('Wątki'!B87=$A$2,INDIRECT("Grupa"),IF('Wątki'!B87=$A$3,INDIRECT("Postać"),"Nie")))</f>
        <v>Tak</v>
      </c>
      <c r="E86" s="53" t="s">
        <v>191</v>
      </c>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row>
    <row r="87">
      <c r="D87" s="53" t="str">
        <f t="array" ref="D87">IF('Wątki'!B88=$A$1,INDIRECT("Klasa"),IF('Wątki'!B88=$A$2,INDIRECT("Grupa"),IF('Wątki'!B88=$A$3,INDIRECT("Postać"),"Nie")))</f>
        <v>Nie</v>
      </c>
      <c r="E87" s="53"/>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row>
    <row r="88">
      <c r="D88" s="53" t="str">
        <f t="array" ref="D88">IF('Wątki'!B89=$A$1,INDIRECT("Klasa"),IF('Wątki'!B89=$A$2,INDIRECT("Grupa"),IF('Wątki'!B89=$A$3,INDIRECT("Postać"),"Nie")))</f>
        <v>Nie</v>
      </c>
      <c r="E88" s="53"/>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4"/>
      <c r="EX88" s="54"/>
      <c r="EY88" s="54"/>
      <c r="EZ88" s="54"/>
      <c r="FA88" s="5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O88" s="54"/>
      <c r="GP88" s="54"/>
      <c r="GQ88" s="54"/>
      <c r="GR88" s="54"/>
      <c r="GS88" s="54"/>
      <c r="GT88" s="54"/>
      <c r="GU88" s="54"/>
      <c r="GV88" s="54"/>
    </row>
    <row r="89">
      <c r="D89" s="53" t="str">
        <f t="array" ref="D89">IF('Wątki'!B90=$A$1,INDIRECT("Klasa"),IF('Wątki'!B90=$A$2,INDIRECT("Grupa"),IF('Wątki'!B90=$A$3,INDIRECT("Postać"),"Nie")))</f>
        <v>Nie</v>
      </c>
      <c r="E89" s="53"/>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row>
    <row r="90">
      <c r="D90" s="53" t="str">
        <f t="array" ref="D90">IF('Wątki'!B91=$A$1,INDIRECT("Klasa"),IF('Wątki'!B91=$A$2,INDIRECT("Grupa"),IF('Wątki'!B91=$A$3,INDIRECT("Postać"),"Nie")))</f>
        <v>Nie</v>
      </c>
      <c r="E90" s="53"/>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row>
    <row r="91">
      <c r="D91" s="53" t="str">
        <f t="array" ref="D91">IF('Wątki'!B92=$A$1,INDIRECT("Klasa"),IF('Wątki'!B92=$A$2,INDIRECT("Grupa"),IF('Wątki'!B92=$A$3,INDIRECT("Postać"),"Nie")))</f>
        <v>Nie</v>
      </c>
      <c r="E91" s="53"/>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4"/>
      <c r="EJ91" s="54"/>
      <c r="EK91" s="54"/>
      <c r="EL91" s="54"/>
      <c r="EM91" s="54"/>
      <c r="EN91" s="54"/>
      <c r="EO91" s="54"/>
      <c r="EP91" s="54"/>
      <c r="EQ91" s="54"/>
      <c r="ER91" s="54"/>
      <c r="ES91" s="54"/>
      <c r="ET91" s="54"/>
      <c r="EU91" s="54"/>
      <c r="EV91" s="54"/>
      <c r="EW91" s="54"/>
      <c r="EX91" s="54"/>
      <c r="EY91" s="54"/>
      <c r="EZ91" s="54"/>
      <c r="FA91" s="54"/>
      <c r="FB91" s="54"/>
      <c r="FC91" s="54"/>
      <c r="FD91" s="54"/>
      <c r="FE91" s="54"/>
      <c r="FF91" s="54"/>
      <c r="FG91" s="54"/>
      <c r="FH91" s="54"/>
      <c r="FI91" s="54"/>
      <c r="FJ91" s="54"/>
      <c r="FK91" s="54"/>
      <c r="FL91" s="54"/>
      <c r="FM91" s="54"/>
      <c r="FN91" s="54"/>
      <c r="FO91" s="54"/>
      <c r="FP91" s="54"/>
      <c r="FQ91" s="54"/>
      <c r="FR91" s="54"/>
      <c r="FS91" s="54"/>
      <c r="FT91" s="54"/>
      <c r="FU91" s="54"/>
      <c r="FV91" s="54"/>
      <c r="FW91" s="54"/>
      <c r="FX91" s="54"/>
      <c r="FY91" s="54"/>
      <c r="FZ91" s="54"/>
      <c r="GA91" s="54"/>
      <c r="GB91" s="54"/>
      <c r="GC91" s="54"/>
      <c r="GD91" s="54"/>
      <c r="GE91" s="54"/>
      <c r="GF91" s="54"/>
      <c r="GG91" s="54"/>
      <c r="GH91" s="54"/>
      <c r="GI91" s="54"/>
      <c r="GJ91" s="54"/>
      <c r="GK91" s="54"/>
      <c r="GL91" s="54"/>
      <c r="GM91" s="54"/>
      <c r="GN91" s="54"/>
      <c r="GO91" s="54"/>
      <c r="GP91" s="54"/>
      <c r="GQ91" s="54"/>
      <c r="GR91" s="54"/>
      <c r="GS91" s="54"/>
      <c r="GT91" s="54"/>
      <c r="GU91" s="54"/>
      <c r="GV91" s="54"/>
    </row>
    <row r="92">
      <c r="D92" s="53" t="str">
        <f t="array" ref="D92:E92">IF('Wątki'!B93=$A$1,INDIRECT("Klasa"),IF('Wątki'!B93=$A$2,INDIRECT("Grupa"),IF('Wątki'!B93=$A$3,INDIRECT("Postać"),"Nie")))</f>
        <v>Tak</v>
      </c>
      <c r="E92" s="53" t="s">
        <v>191</v>
      </c>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4"/>
      <c r="EX92" s="54"/>
      <c r="EY92" s="54"/>
      <c r="EZ92" s="54"/>
      <c r="FA92" s="5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54"/>
      <c r="GM92" s="54"/>
      <c r="GN92" s="54"/>
      <c r="GO92" s="54"/>
      <c r="GP92" s="54"/>
      <c r="GQ92" s="54"/>
      <c r="GR92" s="54"/>
      <c r="GS92" s="54"/>
      <c r="GT92" s="54"/>
      <c r="GU92" s="54"/>
      <c r="GV92" s="54"/>
    </row>
    <row r="93">
      <c r="D93" s="53" t="str">
        <f t="array" ref="D93:E93">IF('Wątki'!B94=$A$1,INDIRECT("Klasa"),IF('Wątki'!B94=$A$2,INDIRECT("Grupa"),IF('Wątki'!B94=$A$3,INDIRECT("Postać"),"Nie")))</f>
        <v>Tak</v>
      </c>
      <c r="E93" s="53" t="s">
        <v>191</v>
      </c>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4"/>
      <c r="EX93" s="54"/>
      <c r="EY93" s="54"/>
      <c r="EZ93" s="54"/>
      <c r="FA93" s="54"/>
      <c r="FB93" s="54"/>
      <c r="FC93" s="54"/>
      <c r="FD93" s="54"/>
      <c r="FE93" s="54"/>
      <c r="FF93" s="54"/>
      <c r="FG93" s="54"/>
      <c r="FH93" s="54"/>
      <c r="FI93" s="54"/>
      <c r="FJ93" s="54"/>
      <c r="FK93" s="54"/>
      <c r="FL93" s="54"/>
      <c r="FM93" s="54"/>
      <c r="FN93" s="54"/>
      <c r="FO93" s="54"/>
      <c r="FP93" s="54"/>
      <c r="FQ93" s="54"/>
      <c r="FR93" s="54"/>
      <c r="FS93" s="54"/>
      <c r="FT93" s="54"/>
      <c r="FU93" s="54"/>
      <c r="FV93" s="54"/>
      <c r="FW93" s="54"/>
      <c r="FX93" s="54"/>
      <c r="FY93" s="54"/>
      <c r="FZ93" s="54"/>
      <c r="GA93" s="54"/>
      <c r="GB93" s="54"/>
      <c r="GC93" s="54"/>
      <c r="GD93" s="54"/>
      <c r="GE93" s="54"/>
      <c r="GF93" s="54"/>
      <c r="GG93" s="54"/>
      <c r="GH93" s="54"/>
      <c r="GI93" s="54"/>
      <c r="GJ93" s="54"/>
      <c r="GK93" s="54"/>
      <c r="GL93" s="54"/>
      <c r="GM93" s="54"/>
      <c r="GN93" s="54"/>
      <c r="GO93" s="54"/>
      <c r="GP93" s="54"/>
      <c r="GQ93" s="54"/>
      <c r="GR93" s="54"/>
      <c r="GS93" s="54"/>
      <c r="GT93" s="54"/>
      <c r="GU93" s="54"/>
      <c r="GV93" s="54"/>
    </row>
    <row r="94">
      <c r="D94" s="53" t="str">
        <f t="array" ref="D94">IF('Wątki'!B95=$A$1,INDIRECT("Klasa"),IF('Wątki'!B95=$A$2,INDIRECT("Grupa"),IF('Wątki'!B95=$A$3,INDIRECT("Postać"),"Nie")))</f>
        <v>Nie</v>
      </c>
      <c r="E94" s="53"/>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c r="CX94" s="54"/>
      <c r="CY94" s="54"/>
      <c r="CZ94" s="54"/>
      <c r="DA94" s="54"/>
      <c r="DB94" s="54"/>
      <c r="DC94" s="54"/>
      <c r="DD94" s="54"/>
      <c r="DE94" s="54"/>
      <c r="DF94" s="54"/>
      <c r="DG94" s="54"/>
      <c r="DH94" s="54"/>
      <c r="DI94" s="54"/>
      <c r="DJ94" s="54"/>
      <c r="DK94" s="54"/>
      <c r="DL94" s="54"/>
      <c r="DM94" s="54"/>
      <c r="DN94" s="54"/>
      <c r="DO94" s="54"/>
      <c r="DP94" s="54"/>
      <c r="DQ94" s="54"/>
      <c r="DR94" s="54"/>
      <c r="DS94" s="54"/>
      <c r="DT94" s="54"/>
      <c r="DU94" s="54"/>
      <c r="DV94" s="54"/>
      <c r="DW94" s="54"/>
      <c r="DX94" s="54"/>
      <c r="DY94" s="54"/>
      <c r="DZ94" s="54"/>
      <c r="EA94" s="54"/>
      <c r="EB94" s="54"/>
      <c r="EC94" s="54"/>
      <c r="ED94" s="54"/>
      <c r="EE94" s="54"/>
      <c r="EF94" s="54"/>
      <c r="EG94" s="54"/>
      <c r="EH94" s="54"/>
      <c r="EI94" s="54"/>
      <c r="EJ94" s="54"/>
      <c r="EK94" s="54"/>
      <c r="EL94" s="54"/>
      <c r="EM94" s="54"/>
      <c r="EN94" s="54"/>
      <c r="EO94" s="54"/>
      <c r="EP94" s="54"/>
      <c r="EQ94" s="54"/>
      <c r="ER94" s="54"/>
      <c r="ES94" s="54"/>
      <c r="ET94" s="54"/>
      <c r="EU94" s="54"/>
      <c r="EV94" s="54"/>
      <c r="EW94" s="54"/>
      <c r="EX94" s="54"/>
      <c r="EY94" s="54"/>
      <c r="EZ94" s="54"/>
      <c r="FA94" s="54"/>
      <c r="FB94" s="54"/>
      <c r="FC94" s="54"/>
      <c r="FD94" s="54"/>
      <c r="FE94" s="54"/>
      <c r="FF94" s="54"/>
      <c r="FG94" s="54"/>
      <c r="FH94" s="54"/>
      <c r="FI94" s="54"/>
      <c r="FJ94" s="54"/>
      <c r="FK94" s="54"/>
      <c r="FL94" s="54"/>
      <c r="FM94" s="54"/>
      <c r="FN94" s="54"/>
      <c r="FO94" s="54"/>
      <c r="FP94" s="54"/>
      <c r="FQ94" s="54"/>
      <c r="FR94" s="54"/>
      <c r="FS94" s="54"/>
      <c r="FT94" s="54"/>
      <c r="FU94" s="54"/>
      <c r="FV94" s="54"/>
      <c r="FW94" s="54"/>
      <c r="FX94" s="54"/>
      <c r="FY94" s="54"/>
      <c r="FZ94" s="54"/>
      <c r="GA94" s="54"/>
      <c r="GB94" s="54"/>
      <c r="GC94" s="54"/>
      <c r="GD94" s="54"/>
      <c r="GE94" s="54"/>
      <c r="GF94" s="54"/>
      <c r="GG94" s="54"/>
      <c r="GH94" s="54"/>
      <c r="GI94" s="54"/>
      <c r="GJ94" s="54"/>
      <c r="GK94" s="54"/>
      <c r="GL94" s="54"/>
      <c r="GM94" s="54"/>
      <c r="GN94" s="54"/>
      <c r="GO94" s="54"/>
      <c r="GP94" s="54"/>
      <c r="GQ94" s="54"/>
      <c r="GR94" s="54"/>
      <c r="GS94" s="54"/>
      <c r="GT94" s="54"/>
      <c r="GU94" s="54"/>
      <c r="GV94" s="54"/>
    </row>
    <row r="95">
      <c r="D95" s="53" t="str">
        <f t="array" ref="D95:E95">IF('Wątki'!B96=$A$1,INDIRECT("Klasa"),IF('Wątki'!B96=$A$2,INDIRECT("Grupa"),IF('Wątki'!B96=$A$3,INDIRECT("Postać"),"Nie")))</f>
        <v>Tak</v>
      </c>
      <c r="E95" s="53" t="s">
        <v>191</v>
      </c>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4"/>
      <c r="EX95" s="54"/>
      <c r="EY95" s="54"/>
      <c r="EZ95" s="54"/>
      <c r="FA95" s="54"/>
      <c r="FB95" s="54"/>
      <c r="FC95" s="54"/>
      <c r="FD95" s="54"/>
      <c r="FE95" s="54"/>
      <c r="FF95" s="54"/>
      <c r="FG95" s="54"/>
      <c r="FH95" s="54"/>
      <c r="FI95" s="54"/>
      <c r="FJ95" s="54"/>
      <c r="FK95" s="54"/>
      <c r="FL95" s="54"/>
      <c r="FM95" s="54"/>
      <c r="FN95" s="54"/>
      <c r="FO95" s="54"/>
      <c r="FP95" s="54"/>
      <c r="FQ95" s="54"/>
      <c r="FR95" s="54"/>
      <c r="FS95" s="54"/>
      <c r="FT95" s="54"/>
      <c r="FU95" s="54"/>
      <c r="FV95" s="54"/>
      <c r="FW95" s="54"/>
      <c r="FX95" s="54"/>
      <c r="FY95" s="54"/>
      <c r="FZ95" s="54"/>
      <c r="GA95" s="54"/>
      <c r="GB95" s="54"/>
      <c r="GC95" s="54"/>
      <c r="GD95" s="54"/>
      <c r="GE95" s="54"/>
      <c r="GF95" s="54"/>
      <c r="GG95" s="54"/>
      <c r="GH95" s="54"/>
      <c r="GI95" s="54"/>
      <c r="GJ95" s="54"/>
      <c r="GK95" s="54"/>
      <c r="GL95" s="54"/>
      <c r="GM95" s="54"/>
      <c r="GN95" s="54"/>
      <c r="GO95" s="54"/>
      <c r="GP95" s="54"/>
      <c r="GQ95" s="54"/>
      <c r="GR95" s="54"/>
      <c r="GS95" s="54"/>
      <c r="GT95" s="54"/>
      <c r="GU95" s="54"/>
      <c r="GV95" s="54"/>
    </row>
    <row r="96">
      <c r="D96" s="53" t="str">
        <f t="array" ref="D96">IF('Wątki'!B97=$A$1,INDIRECT("Klasa"),IF('Wątki'!B97=$A$2,INDIRECT("Grupa"),IF('Wątki'!B97=$A$3,INDIRECT("Postać"),"Nie")))</f>
        <v>Nie</v>
      </c>
      <c r="E96" s="53"/>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4"/>
      <c r="EX96" s="54"/>
      <c r="EY96" s="54"/>
      <c r="EZ96" s="54"/>
      <c r="FA96" s="54"/>
      <c r="FB96" s="54"/>
      <c r="FC96" s="54"/>
      <c r="FD96" s="54"/>
      <c r="FE96" s="54"/>
      <c r="FF96" s="54"/>
      <c r="FG96" s="54"/>
      <c r="FH96" s="54"/>
      <c r="FI96" s="54"/>
      <c r="FJ96" s="54"/>
      <c r="FK96" s="54"/>
      <c r="FL96" s="54"/>
      <c r="FM96" s="54"/>
      <c r="FN96" s="54"/>
      <c r="FO96" s="54"/>
      <c r="FP96" s="54"/>
      <c r="FQ96" s="54"/>
      <c r="FR96" s="54"/>
      <c r="FS96" s="54"/>
      <c r="FT96" s="54"/>
      <c r="FU96" s="54"/>
      <c r="FV96" s="54"/>
      <c r="FW96" s="54"/>
      <c r="FX96" s="54"/>
      <c r="FY96" s="54"/>
      <c r="FZ96" s="54"/>
      <c r="GA96" s="54"/>
      <c r="GB96" s="54"/>
      <c r="GC96" s="54"/>
      <c r="GD96" s="54"/>
      <c r="GE96" s="54"/>
      <c r="GF96" s="54"/>
      <c r="GG96" s="54"/>
      <c r="GH96" s="54"/>
      <c r="GI96" s="54"/>
      <c r="GJ96" s="54"/>
      <c r="GK96" s="54"/>
      <c r="GL96" s="54"/>
      <c r="GM96" s="54"/>
      <c r="GN96" s="54"/>
      <c r="GO96" s="54"/>
      <c r="GP96" s="54"/>
      <c r="GQ96" s="54"/>
      <c r="GR96" s="54"/>
      <c r="GS96" s="54"/>
      <c r="GT96" s="54"/>
      <c r="GU96" s="54"/>
      <c r="GV96" s="54"/>
    </row>
    <row r="97">
      <c r="D97" s="53" t="str">
        <f t="array" ref="D97">IF('Wątki'!B98=$A$1,INDIRECT("Klasa"),IF('Wątki'!B98=$A$2,INDIRECT("Grupa"),IF('Wątki'!B98=$A$3,INDIRECT("Postać"),"Nie")))</f>
        <v>Nie</v>
      </c>
      <c r="E97" s="53"/>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4"/>
      <c r="EX97" s="54"/>
      <c r="EY97" s="54"/>
      <c r="EZ97" s="54"/>
      <c r="FA97" s="54"/>
      <c r="FB97" s="54"/>
      <c r="FC97" s="54"/>
      <c r="FD97" s="54"/>
      <c r="FE97" s="54"/>
      <c r="FF97" s="54"/>
      <c r="FG97" s="54"/>
      <c r="FH97" s="54"/>
      <c r="FI97" s="54"/>
      <c r="FJ97" s="54"/>
      <c r="FK97" s="54"/>
      <c r="FL97" s="54"/>
      <c r="FM97" s="54"/>
      <c r="FN97" s="54"/>
      <c r="FO97" s="54"/>
      <c r="FP97" s="54"/>
      <c r="FQ97" s="54"/>
      <c r="FR97" s="54"/>
      <c r="FS97" s="54"/>
      <c r="FT97" s="54"/>
      <c r="FU97" s="54"/>
      <c r="FV97" s="54"/>
      <c r="FW97" s="54"/>
      <c r="FX97" s="54"/>
      <c r="FY97" s="54"/>
      <c r="FZ97" s="54"/>
      <c r="GA97" s="54"/>
      <c r="GB97" s="54"/>
      <c r="GC97" s="54"/>
      <c r="GD97" s="54"/>
      <c r="GE97" s="54"/>
      <c r="GF97" s="54"/>
      <c r="GG97" s="54"/>
      <c r="GH97" s="54"/>
      <c r="GI97" s="54"/>
      <c r="GJ97" s="54"/>
      <c r="GK97" s="54"/>
      <c r="GL97" s="54"/>
      <c r="GM97" s="54"/>
      <c r="GN97" s="54"/>
      <c r="GO97" s="54"/>
      <c r="GP97" s="54"/>
      <c r="GQ97" s="54"/>
      <c r="GR97" s="54"/>
      <c r="GS97" s="54"/>
      <c r="GT97" s="54"/>
      <c r="GU97" s="54"/>
      <c r="GV97" s="54"/>
    </row>
    <row r="98">
      <c r="D98" s="53" t="str">
        <f t="array" ref="D98">IF('Wątki'!B99=$A$1,INDIRECT("Klasa"),IF('Wątki'!B99=$A$2,INDIRECT("Grupa"),IF('Wątki'!B99=$A$3,INDIRECT("Postać"),"Nie")))</f>
        <v>Nie</v>
      </c>
      <c r="E98" s="53"/>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4"/>
      <c r="EX98" s="54"/>
      <c r="EY98" s="54"/>
      <c r="EZ98" s="54"/>
      <c r="FA98" s="54"/>
      <c r="FB98" s="54"/>
      <c r="FC98" s="54"/>
      <c r="FD98" s="54"/>
      <c r="FE98" s="54"/>
      <c r="FF98" s="54"/>
      <c r="FG98" s="54"/>
      <c r="FH98" s="54"/>
      <c r="FI98" s="54"/>
      <c r="FJ98" s="54"/>
      <c r="FK98" s="54"/>
      <c r="FL98" s="54"/>
      <c r="FM98" s="54"/>
      <c r="FN98" s="54"/>
      <c r="FO98" s="54"/>
      <c r="FP98" s="54"/>
      <c r="FQ98" s="54"/>
      <c r="FR98" s="54"/>
      <c r="FS98" s="54"/>
      <c r="FT98" s="54"/>
      <c r="FU98" s="54"/>
      <c r="FV98" s="54"/>
      <c r="FW98" s="54"/>
      <c r="FX98" s="54"/>
      <c r="FY98" s="54"/>
      <c r="FZ98" s="54"/>
      <c r="GA98" s="54"/>
      <c r="GB98" s="54"/>
      <c r="GC98" s="54"/>
      <c r="GD98" s="54"/>
      <c r="GE98" s="54"/>
      <c r="GF98" s="54"/>
      <c r="GG98" s="54"/>
      <c r="GH98" s="54"/>
      <c r="GI98" s="54"/>
      <c r="GJ98" s="54"/>
      <c r="GK98" s="54"/>
      <c r="GL98" s="54"/>
      <c r="GM98" s="54"/>
      <c r="GN98" s="54"/>
      <c r="GO98" s="54"/>
      <c r="GP98" s="54"/>
      <c r="GQ98" s="54"/>
      <c r="GR98" s="54"/>
      <c r="GS98" s="54"/>
      <c r="GT98" s="54"/>
      <c r="GU98" s="54"/>
      <c r="GV98" s="54"/>
    </row>
    <row r="99">
      <c r="D99" s="53" t="str">
        <f t="array" ref="D99">IF(#REF!=$A$1,INDIRECT("Klasa"),IF(#REF!=$A$2,INDIRECT("Grupa"),IF(#REF!=$A$3,INDIRECT("Postać"),"Nie")))</f>
        <v>#REF!</v>
      </c>
      <c r="E99" s="53"/>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4"/>
      <c r="EX99" s="54"/>
      <c r="EY99" s="54"/>
      <c r="EZ99" s="54"/>
      <c r="FA99" s="54"/>
      <c r="FB99" s="54"/>
      <c r="FC99" s="54"/>
      <c r="FD99" s="54"/>
      <c r="FE99" s="54"/>
      <c r="FF99" s="54"/>
      <c r="FG99" s="54"/>
      <c r="FH99" s="54"/>
      <c r="FI99" s="54"/>
      <c r="FJ99" s="54"/>
      <c r="FK99" s="54"/>
      <c r="FL99" s="54"/>
      <c r="FM99" s="54"/>
      <c r="FN99" s="54"/>
      <c r="FO99" s="54"/>
      <c r="FP99" s="54"/>
      <c r="FQ99" s="54"/>
      <c r="FR99" s="54"/>
      <c r="FS99" s="54"/>
      <c r="FT99" s="54"/>
      <c r="FU99" s="54"/>
      <c r="FV99" s="54"/>
      <c r="FW99" s="54"/>
      <c r="FX99" s="54"/>
      <c r="FY99" s="54"/>
      <c r="FZ99" s="54"/>
      <c r="GA99" s="54"/>
      <c r="GB99" s="54"/>
      <c r="GC99" s="54"/>
      <c r="GD99" s="54"/>
      <c r="GE99" s="54"/>
      <c r="GF99" s="54"/>
      <c r="GG99" s="54"/>
      <c r="GH99" s="54"/>
      <c r="GI99" s="54"/>
      <c r="GJ99" s="54"/>
      <c r="GK99" s="54"/>
      <c r="GL99" s="54"/>
      <c r="GM99" s="54"/>
      <c r="GN99" s="54"/>
      <c r="GO99" s="54"/>
      <c r="GP99" s="54"/>
      <c r="GQ99" s="54"/>
      <c r="GR99" s="54"/>
      <c r="GS99" s="54"/>
      <c r="GT99" s="54"/>
      <c r="GU99" s="54"/>
      <c r="GV99" s="54"/>
    </row>
    <row r="100">
      <c r="D100" s="53" t="str">
        <f t="array" ref="D100">IF('Wątki'!B100=$A$1,INDIRECT("Klasa"),IF('Wątki'!B100=$A$2,INDIRECT("Grupa"),IF('Wątki'!B100=$A$3,INDIRECT("Postać"),"Nie")))</f>
        <v>Nie</v>
      </c>
      <c r="E100" s="53"/>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4"/>
      <c r="DI100" s="54"/>
      <c r="DJ100" s="54"/>
      <c r="DK100" s="54"/>
      <c r="DL100" s="54"/>
      <c r="DM100" s="54"/>
      <c r="DN100" s="54"/>
      <c r="DO100" s="54"/>
      <c r="DP100" s="54"/>
      <c r="DQ100" s="54"/>
      <c r="DR100" s="54"/>
      <c r="DS100" s="54"/>
      <c r="DT100" s="54"/>
      <c r="DU100" s="54"/>
      <c r="DV100" s="54"/>
      <c r="DW100" s="54"/>
      <c r="DX100" s="54"/>
      <c r="DY100" s="54"/>
      <c r="DZ100" s="54"/>
      <c r="EA100" s="54"/>
      <c r="EB100" s="54"/>
      <c r="EC100" s="54"/>
      <c r="ED100" s="54"/>
      <c r="EE100" s="54"/>
      <c r="EF100" s="54"/>
      <c r="EG100" s="54"/>
      <c r="EH100" s="54"/>
      <c r="EI100" s="54"/>
      <c r="EJ100" s="54"/>
      <c r="EK100" s="54"/>
      <c r="EL100" s="54"/>
      <c r="EM100" s="54"/>
      <c r="EN100" s="54"/>
      <c r="EO100" s="54"/>
      <c r="EP100" s="54"/>
      <c r="EQ100" s="54"/>
      <c r="ER100" s="54"/>
      <c r="ES100" s="54"/>
      <c r="ET100" s="54"/>
      <c r="EU100" s="54"/>
      <c r="EV100" s="54"/>
      <c r="EW100" s="54"/>
      <c r="EX100" s="54"/>
      <c r="EY100" s="54"/>
      <c r="EZ100" s="54"/>
      <c r="FA100" s="54"/>
      <c r="FB100" s="54"/>
      <c r="FC100" s="54"/>
      <c r="FD100" s="54"/>
      <c r="FE100" s="54"/>
      <c r="FF100" s="54"/>
      <c r="FG100" s="54"/>
      <c r="FH100" s="54"/>
      <c r="FI100" s="54"/>
      <c r="FJ100" s="54"/>
      <c r="FK100" s="54"/>
      <c r="FL100" s="54"/>
      <c r="FM100" s="54"/>
      <c r="FN100" s="54"/>
      <c r="FO100" s="54"/>
      <c r="FP100" s="54"/>
      <c r="FQ100" s="54"/>
      <c r="FR100" s="54"/>
      <c r="FS100" s="54"/>
      <c r="FT100" s="54"/>
      <c r="FU100" s="54"/>
      <c r="FV100" s="54"/>
      <c r="FW100" s="54"/>
      <c r="FX100" s="54"/>
      <c r="FY100" s="54"/>
      <c r="FZ100" s="54"/>
      <c r="GA100" s="54"/>
      <c r="GB100" s="54"/>
      <c r="GC100" s="54"/>
      <c r="GD100" s="54"/>
      <c r="GE100" s="54"/>
      <c r="GF100" s="54"/>
      <c r="GG100" s="54"/>
      <c r="GH100" s="54"/>
      <c r="GI100" s="54"/>
      <c r="GJ100" s="54"/>
      <c r="GK100" s="54"/>
      <c r="GL100" s="54"/>
      <c r="GM100" s="54"/>
      <c r="GN100" s="54"/>
      <c r="GO100" s="54"/>
      <c r="GP100" s="54"/>
      <c r="GQ100" s="54"/>
      <c r="GR100" s="54"/>
      <c r="GS100" s="54"/>
      <c r="GT100" s="54"/>
      <c r="GU100" s="54"/>
      <c r="GV100" s="54"/>
    </row>
    <row r="101">
      <c r="D101" s="53" t="str">
        <f t="array" ref="D101">IF('Wątki'!B101=$A$1,INDIRECT("Klasa"),IF('Wątki'!B101=$A$2,INDIRECT("Grupa"),IF('Wątki'!B101=$A$3,INDIRECT("Postać"),"Nie")))</f>
        <v>Nie</v>
      </c>
      <c r="E101" s="53"/>
    </row>
    <row r="102">
      <c r="D102" s="53" t="str">
        <f t="array" ref="D102:E102">IF('Wątki'!B102=$A$1,INDIRECT("Klasa"),IF('Wątki'!B102=$A$2,INDIRECT("Grupa"),IF('Wątki'!B102=$A$3,INDIRECT("Postać"),"Nie")))</f>
        <v>Tak</v>
      </c>
      <c r="E102" s="53" t="s">
        <v>191</v>
      </c>
    </row>
    <row r="103">
      <c r="D103" s="53" t="str">
        <f t="array" ref="D103:E103">IF('Wątki'!B103=$A$1,INDIRECT("Klasa"),IF('Wątki'!B103=$A$2,INDIRECT("Grupa"),IF('Wątki'!B103=$A$3,INDIRECT("Postać"),"Nie")))</f>
        <v>Tak</v>
      </c>
      <c r="E103" s="53" t="s">
        <v>191</v>
      </c>
    </row>
    <row r="104">
      <c r="D104" s="53" t="str">
        <f t="array" ref="D104:E104">IF('Wątki'!B104=$A$1,INDIRECT("Klasa"),IF('Wątki'!B104=$A$2,INDIRECT("Grupa"),IF('Wątki'!B104=$A$3,INDIRECT("Postać"),"Nie")))</f>
        <v>Tak</v>
      </c>
      <c r="E104" s="53" t="s">
        <v>191</v>
      </c>
    </row>
    <row r="105">
      <c r="D105" s="53" t="str">
        <f t="array" ref="D105">IF('Wątki'!B105=$A$1,INDIRECT("Klasa"),IF('Wątki'!B105=$A$2,INDIRECT("Grupa"),IF('Wątki'!B105=$A$3,INDIRECT("Postać"),"Nie")))</f>
        <v>Nie</v>
      </c>
      <c r="E105" s="53"/>
    </row>
    <row r="106">
      <c r="D106" s="53" t="str">
        <f t="array" ref="D106">IF('Wątki'!B106=$A$1,INDIRECT("Klasa"),IF('Wątki'!B106=$A$2,INDIRECT("Grupa"),IF('Wątki'!B106=$A$3,INDIRECT("Postać"),"Nie")))</f>
        <v>Nie</v>
      </c>
      <c r="E106" s="53"/>
    </row>
    <row r="107">
      <c r="D107" s="53" t="str">
        <f t="array" ref="D107">IF('Wątki'!B107=$A$1,INDIRECT("Klasa"),IF('Wątki'!B107=$A$2,INDIRECT("Grupa"),IF('Wątki'!B107=$A$3,INDIRECT("Postać"),"Nie")))</f>
        <v>Nie</v>
      </c>
      <c r="E107" s="53"/>
    </row>
    <row r="108">
      <c r="D108" s="53" t="str">
        <f t="array" ref="D108">IF('Wątki'!B108=$A$1,INDIRECT("Klasa"),IF('Wątki'!B108=$A$2,INDIRECT("Grupa"),IF('Wątki'!B108=$A$3,INDIRECT("Postać"),"Nie")))</f>
        <v>Nie</v>
      </c>
      <c r="E108" s="53"/>
    </row>
    <row r="109">
      <c r="D109" s="53" t="str">
        <f t="array" ref="D109">IF('Wątki'!B109=$A$1,INDIRECT("Klasa"),IF('Wątki'!B109=$A$2,INDIRECT("Grupa"),IF('Wątki'!B109=$A$3,INDIRECT("Postać"),"Nie")))</f>
        <v>Nie</v>
      </c>
      <c r="E109" s="53"/>
    </row>
    <row r="110">
      <c r="D110" s="53" t="str">
        <f t="array" ref="D110:E110">IF('Wątki'!B110=$A$1,INDIRECT("Klasa"),IF('Wątki'!B110=$A$2,INDIRECT("Grupa"),IF('Wątki'!B110=$A$3,INDIRECT("Postać"),"Nie")))</f>
        <v>Tak</v>
      </c>
      <c r="E110" s="53" t="s">
        <v>191</v>
      </c>
    </row>
    <row r="111">
      <c r="D111" s="53" t="str">
        <f t="array" ref="D111:E111">IF('Wątki'!B111=$A$1,INDIRECT("Klasa"),IF('Wątki'!B111=$A$2,INDIRECT("Grupa"),IF('Wątki'!B111=$A$3,INDIRECT("Postać"),"Nie")))</f>
        <v>Tak</v>
      </c>
      <c r="E111" s="53" t="s">
        <v>191</v>
      </c>
    </row>
    <row r="112">
      <c r="D112" s="53" t="str">
        <f t="array" ref="D112:E112">IF('Wątki'!B112=$A$1,INDIRECT("Klasa"),IF('Wątki'!B112=$A$2,INDIRECT("Grupa"),IF('Wątki'!B112=$A$3,INDIRECT("Postać"),"Nie")))</f>
        <v>Tak</v>
      </c>
      <c r="E112" s="53" t="s">
        <v>191</v>
      </c>
    </row>
    <row r="113">
      <c r="D113" s="53" t="str">
        <f t="array" ref="D113">IF('Wątki'!B113=$A$1,INDIRECT("Klasa"),IF('Wątki'!B113=$A$2,INDIRECT("Grupa"),IF('Wątki'!B113=$A$3,INDIRECT("Postać"),"Nie")))</f>
        <v>Nie</v>
      </c>
      <c r="E113" s="53"/>
    </row>
    <row r="114">
      <c r="D114" s="53" t="str">
        <f t="array" ref="D114">IF('Wątki'!B114=$A$1,INDIRECT("Klasa"),IF('Wątki'!B114=$A$2,INDIRECT("Grupa"),IF('Wątki'!B114=$A$3,INDIRECT("Postać"),"Nie")))</f>
        <v>Nie</v>
      </c>
      <c r="E114" s="53"/>
    </row>
    <row r="115">
      <c r="D115" s="53" t="str">
        <f t="array" ref="D115">IF('Wątki'!B115=$A$1,INDIRECT("Klasa"),IF('Wątki'!B115=$A$2,INDIRECT("Grupa"),IF('Wątki'!B115=$A$3,INDIRECT("Postać"),"Nie")))</f>
        <v>Nie</v>
      </c>
      <c r="E115" s="53"/>
    </row>
    <row r="116">
      <c r="D116" s="53" t="str">
        <f t="array" ref="D116:E116">IF('Wątki'!B116=$A$1,INDIRECT("Klasa"),IF('Wątki'!B116=$A$2,INDIRECT("Grupa"),IF('Wątki'!B116=$A$3,INDIRECT("Postać"),"Nie")))</f>
        <v>Tak</v>
      </c>
      <c r="E116" s="53" t="s">
        <v>191</v>
      </c>
    </row>
    <row r="117">
      <c r="D117" s="53" t="str">
        <f t="array" ref="D117">IF('Wątki'!B117=$A$1,INDIRECT("Klasa"),IF('Wątki'!B117=$A$2,INDIRECT("Grupa"),IF('Wątki'!B117=$A$3,INDIRECT("Postać"),"Nie")))</f>
        <v>Nie</v>
      </c>
      <c r="E117" s="53"/>
    </row>
    <row r="118">
      <c r="D118" s="53" t="str">
        <f t="array" ref="D118">IF('Wątki'!B118=$A$1,INDIRECT("Klasa"),IF('Wątki'!B118=$A$2,INDIRECT("Grupa"),IF('Wątki'!B118=$A$3,INDIRECT("Postać"),"Nie")))</f>
        <v>Nie</v>
      </c>
      <c r="E118" s="53"/>
    </row>
    <row r="119">
      <c r="D119" s="53" t="str">
        <f t="array" ref="D119">IF('Wątki'!B119=$A$1,INDIRECT("Klasa"),IF('Wątki'!B119=$A$2,INDIRECT("Grupa"),IF('Wątki'!B119=$A$3,INDIRECT("Postać"),"Nie")))</f>
        <v>Nie</v>
      </c>
      <c r="E119" s="53"/>
    </row>
    <row r="120">
      <c r="D120" s="53" t="str">
        <f t="array" ref="D120">IF('Wątki'!B120=$A$1,INDIRECT("Klasa"),IF('Wątki'!B120=$A$2,INDIRECT("Grupa"),IF('Wątki'!B120=$A$3,INDIRECT("Postać"),"Nie")))</f>
        <v>Nie</v>
      </c>
      <c r="E120" s="53"/>
    </row>
    <row r="121">
      <c r="D121" s="53" t="str">
        <f t="array" ref="D121">IF('Wątki'!B121=$A$1,INDIRECT("Klasa"),IF('Wątki'!B121=$A$2,INDIRECT("Grupa"),IF('Wątki'!B121=$A$3,INDIRECT("Postać"),"Nie")))</f>
        <v>Nie</v>
      </c>
      <c r="E121" s="53"/>
    </row>
    <row r="122">
      <c r="D122" s="53" t="str">
        <f t="array" ref="D122:E122">IF('Wątki'!B122=$A$1,INDIRECT("Klasa"),IF('Wątki'!B122=$A$2,INDIRECT("Grupa"),IF('Wątki'!B122=$A$3,INDIRECT("Postać"),"Nie")))</f>
        <v>Tak</v>
      </c>
      <c r="E122" s="53" t="s">
        <v>191</v>
      </c>
    </row>
    <row r="123">
      <c r="D123" s="53" t="str">
        <f t="array" ref="D123">IF(#REF!=$A$1,INDIRECT("Klasa"),IF(#REF!=$A$2,INDIRECT("Grupa"),IF(#REF!=$A$3,INDIRECT("Postać"),"Nie")))</f>
        <v>#REF!</v>
      </c>
      <c r="E123" s="53"/>
    </row>
    <row r="124">
      <c r="D124" s="53" t="str">
        <f t="array" ref="D124:E124">IF('Wątki'!B123=$A$1,INDIRECT("Klasa"),IF('Wątki'!B123=$A$2,INDIRECT("Grupa"),IF('Wątki'!B123=$A$3,INDIRECT("Postać"),"Nie")))</f>
        <v>Tak</v>
      </c>
      <c r="E124" s="53" t="s">
        <v>191</v>
      </c>
    </row>
    <row r="125">
      <c r="D125" s="53" t="str">
        <f t="shared" ref="D125:D129" si="2">IF(#REF!=$A$1,INDIRECT("Klasa"),IF(#REF!=$A$2,INDIRECT("Grupa"),IF(#REF!=$A$3,INDIRECT("Postać"),"Nie")))</f>
        <v>#REF!</v>
      </c>
      <c r="E125" s="53"/>
    </row>
    <row r="126">
      <c r="D126" s="53" t="str">
        <f t="shared" si="2"/>
        <v>#REF!</v>
      </c>
      <c r="E126" s="53"/>
    </row>
    <row r="127">
      <c r="D127" s="53" t="str">
        <f t="shared" si="2"/>
        <v>#REF!</v>
      </c>
      <c r="E127" s="53"/>
    </row>
    <row r="128">
      <c r="D128" s="53" t="str">
        <f t="shared" si="2"/>
        <v>#REF!</v>
      </c>
      <c r="E128" s="53"/>
    </row>
    <row r="129">
      <c r="D129" s="53" t="str">
        <f t="shared" si="2"/>
        <v>#REF!</v>
      </c>
      <c r="E129" s="53"/>
    </row>
    <row r="130">
      <c r="D130" s="53" t="str">
        <f t="array" ref="D130">IF('Wątki'!B124=$A$1,INDIRECT("Klasa"),IF('Wątki'!B124=$A$2,INDIRECT("Grupa"),IF('Wątki'!B124=$A$3,INDIRECT("Postać"),"Nie")))</f>
        <v>Nie</v>
      </c>
      <c r="E130" s="53"/>
    </row>
    <row r="131">
      <c r="D131" s="53" t="str">
        <f t="array" ref="D131">IF('Wątki'!B125=$A$1,INDIRECT("Klasa"),IF('Wątki'!B125=$A$2,INDIRECT("Grupa"),IF('Wątki'!B125=$A$3,INDIRECT("Postać"),"Nie")))</f>
        <v>Nie</v>
      </c>
      <c r="E131" s="53"/>
    </row>
    <row r="132">
      <c r="D132" s="53" t="str">
        <f t="array" ref="D132">IF('Wątki'!B126=$A$1,INDIRECT("Klasa"),IF('Wątki'!B126=$A$2,INDIRECT("Grupa"),IF('Wątki'!B126=$A$3,INDIRECT("Postać"),"Nie")))</f>
        <v>Nie</v>
      </c>
      <c r="E132" s="53"/>
    </row>
    <row r="133">
      <c r="D133" s="53" t="str">
        <f t="array" ref="D133">IF('Wątki'!B127=$A$1,INDIRECT("Klasa"),IF('Wątki'!B127=$A$2,INDIRECT("Grupa"),IF('Wątki'!B127=$A$3,INDIRECT("Postać"),"Nie")))</f>
        <v>Nie</v>
      </c>
      <c r="E133" s="53"/>
    </row>
    <row r="134">
      <c r="D134" s="53" t="str">
        <f t="array" ref="D134">IF('Wątki'!B128=$A$1,INDIRECT("Klasa"),IF('Wątki'!B128=$A$2,INDIRECT("Grupa"),IF('Wątki'!B128=$A$3,INDIRECT("Postać"),"Nie")))</f>
        <v>Nie</v>
      </c>
      <c r="E134" s="53"/>
    </row>
    <row r="135">
      <c r="D135" s="53" t="str">
        <f t="array" ref="D135">IF('Wątki'!B129=$A$1,INDIRECT("Klasa"),IF('Wątki'!B129=$A$2,INDIRECT("Grupa"),IF('Wątki'!B129=$A$3,INDIRECT("Postać"),"Nie")))</f>
        <v>Nie</v>
      </c>
      <c r="E135" s="53"/>
    </row>
    <row r="136">
      <c r="D136" s="53" t="str">
        <f t="array" ref="D136">IF('Wątki'!B130=$A$1,INDIRECT("Klasa"),IF('Wątki'!B130=$A$2,INDIRECT("Grupa"),IF('Wątki'!B130=$A$3,INDIRECT("Postać"),"Nie")))</f>
        <v>Nie</v>
      </c>
      <c r="E136" s="53"/>
    </row>
    <row r="137">
      <c r="D137" s="53" t="str">
        <f t="array" ref="D137">IF('Wątki'!B131=$A$1,INDIRECT("Klasa"),IF('Wątki'!B131=$A$2,INDIRECT("Grupa"),IF('Wątki'!B131=$A$3,INDIRECT("Postać"),"Nie")))</f>
        <v>Nie</v>
      </c>
      <c r="E137" s="53"/>
    </row>
    <row r="138">
      <c r="D138" s="53" t="str">
        <f t="array" ref="D138">IF('Wątki'!B132=$A$1,INDIRECT("Klasa"),IF('Wątki'!B132=$A$2,INDIRECT("Grupa"),IF('Wątki'!B132=$A$3,INDIRECT("Postać"),"Nie")))</f>
        <v>Nie</v>
      </c>
      <c r="E138" s="53"/>
    </row>
    <row r="139">
      <c r="D139" s="53" t="str">
        <f t="array" ref="D139">IF('Wątki'!B133=$A$1,INDIRECT("Klasa"),IF('Wątki'!B133=$A$2,INDIRECT("Grupa"),IF('Wątki'!B133=$A$3,INDIRECT("Postać"),"Nie")))</f>
        <v>Nie</v>
      </c>
      <c r="E139" s="53"/>
    </row>
    <row r="140">
      <c r="D140" s="53" t="str">
        <f t="array" ref="D140">IF('Wątki'!B134=$A$1,INDIRECT("Klasa"),IF('Wątki'!B134=$A$2,INDIRECT("Grupa"),IF('Wątki'!B134=$A$3,INDIRECT("Postać"),"Nie")))</f>
        <v>Nie</v>
      </c>
      <c r="E140" s="53"/>
    </row>
    <row r="141">
      <c r="D141" s="53" t="str">
        <f t="array" ref="D141:E141">IF('Wątki'!B135=$A$1,INDIRECT("Klasa"),IF('Wątki'!B135=$A$2,INDIRECT("Grupa"),IF('Wątki'!B135=$A$3,INDIRECT("Postać"),"Nie")))</f>
        <v>Tak</v>
      </c>
      <c r="E141" s="53" t="s">
        <v>191</v>
      </c>
    </row>
    <row r="142">
      <c r="D142" s="53" t="str">
        <f t="array" ref="D142">IF('Wątki'!B136=$A$1,INDIRECT("Klasa"),IF('Wątki'!B136=$A$2,INDIRECT("Grupa"),IF('Wątki'!B136=$A$3,INDIRECT("Postać"),"Nie")))</f>
        <v>Nie</v>
      </c>
      <c r="E142" s="53"/>
    </row>
    <row r="143">
      <c r="D143" s="53" t="str">
        <f t="array" ref="D143">IF('Wątki'!B137=$A$1,INDIRECT("Klasa"),IF('Wątki'!B137=$A$2,INDIRECT("Grupa"),IF('Wątki'!B137=$A$3,INDIRECT("Postać"),"Nie")))</f>
        <v>Nie</v>
      </c>
      <c r="E143" s="53"/>
    </row>
    <row r="144">
      <c r="D144" s="53" t="str">
        <f t="array" ref="D144">IF('Wątki'!B138=$A$1,INDIRECT("Klasa"),IF('Wątki'!B138=$A$2,INDIRECT("Grupa"),IF('Wątki'!B138=$A$3,INDIRECT("Postać"),"Nie")))</f>
        <v>Nie</v>
      </c>
      <c r="E144" s="53"/>
    </row>
    <row r="145">
      <c r="D145" s="53" t="str">
        <f t="array" ref="D145">IF('Wątki'!B139=$A$1,INDIRECT("Klasa"),IF('Wątki'!B139=$A$2,INDIRECT("Grupa"),IF('Wątki'!B139=$A$3,INDIRECT("Postać"),"Nie")))</f>
        <v>Nie</v>
      </c>
      <c r="E145" s="53"/>
    </row>
    <row r="146">
      <c r="D146" s="53" t="str">
        <f t="array" ref="D146">IF('Wątki'!B140=$A$1,INDIRECT("Klasa"),IF('Wątki'!B140=$A$2,INDIRECT("Grupa"),IF('Wątki'!B140=$A$3,INDIRECT("Postać"),"Nie")))</f>
        <v>Nie</v>
      </c>
      <c r="E146" s="53"/>
    </row>
    <row r="147">
      <c r="D147" s="53" t="str">
        <f t="array" ref="D147">IF('Wątki'!B141=$A$1,INDIRECT("Klasa"),IF('Wątki'!B141=$A$2,INDIRECT("Grupa"),IF('Wątki'!B141=$A$3,INDIRECT("Postać"),"Nie")))</f>
        <v>Nie</v>
      </c>
      <c r="E147" s="53"/>
    </row>
    <row r="148">
      <c r="D148" s="53" t="str">
        <f t="array" ref="D148">IF('Wątki'!B142=$A$1,INDIRECT("Klasa"),IF('Wątki'!B142=$A$2,INDIRECT("Grupa"),IF('Wątki'!B142=$A$3,INDIRECT("Postać"),"Nie")))</f>
        <v>Nie</v>
      </c>
      <c r="E148" s="53"/>
    </row>
    <row r="149">
      <c r="D149" s="53" t="str">
        <f t="array" ref="D149">IF('Wątki'!B143=$A$1,INDIRECT("Klasa"),IF('Wątki'!B143=$A$2,INDIRECT("Grupa"),IF('Wątki'!B143=$A$3,INDIRECT("Postać"),"Nie")))</f>
        <v>Nie</v>
      </c>
      <c r="E149" s="53"/>
    </row>
    <row r="150">
      <c r="D150" s="53" t="str">
        <f t="array" ref="D150">IF('Wątki'!B144=$A$1,INDIRECT("Klasa"),IF('Wątki'!B144=$A$2,INDIRECT("Grupa"),IF('Wątki'!B144=$A$3,INDIRECT("Postać"),"Nie")))</f>
        <v>Nie</v>
      </c>
      <c r="E150" s="53"/>
    </row>
    <row r="151">
      <c r="D151" s="53" t="str">
        <f t="array" ref="D151">IF('Wątki'!B145=$A$1,INDIRECT("Klasa"),IF('Wątki'!B145=$A$2,INDIRECT("Grupa"),IF('Wątki'!B145=$A$3,INDIRECT("Postać"),"Nie")))</f>
        <v>Nie</v>
      </c>
      <c r="E151" s="53"/>
    </row>
    <row r="152">
      <c r="D152" s="53" t="str">
        <f t="array" ref="D152">IF('Wątki'!B146=$A$1,INDIRECT("Klasa"),IF('Wątki'!B146=$A$2,INDIRECT("Grupa"),IF('Wątki'!B146=$A$3,INDIRECT("Postać"),"Nie")))</f>
        <v>Nie</v>
      </c>
      <c r="E152" s="53"/>
    </row>
    <row r="153">
      <c r="D153" s="53" t="str">
        <f t="array" ref="D153">IF('Wątki'!B147=$A$1,INDIRECT("Klasa"),IF('Wątki'!B147=$A$2,INDIRECT("Grupa"),IF('Wątki'!B147=$A$3,INDIRECT("Postać"),"Nie")))</f>
        <v>Nie</v>
      </c>
      <c r="E153" s="53"/>
    </row>
    <row r="154">
      <c r="D154" s="53" t="str">
        <f t="array" ref="D154">IF('Wątki'!B148=$A$1,INDIRECT("Klasa"),IF('Wątki'!B148=$A$2,INDIRECT("Grupa"),IF('Wątki'!B148=$A$3,INDIRECT("Postać"),"Nie")))</f>
        <v>Nie</v>
      </c>
      <c r="E154" s="53"/>
    </row>
    <row r="155">
      <c r="D155" s="53" t="str">
        <f t="array" ref="D155">IF('Wątki'!B149=$A$1,INDIRECT("Klasa"),IF('Wątki'!B149=$A$2,INDIRECT("Grupa"),IF('Wątki'!B149=$A$3,INDIRECT("Postać"),"Nie")))</f>
        <v>Nie</v>
      </c>
      <c r="E155" s="53"/>
    </row>
    <row r="156">
      <c r="D156" s="53" t="str">
        <f t="array" ref="D156">IF('Wątki'!B150=$A$1,INDIRECT("Klasa"),IF('Wątki'!B150=$A$2,INDIRECT("Grupa"),IF('Wątki'!B150=$A$3,INDIRECT("Postać"),"Nie")))</f>
        <v>Nie</v>
      </c>
      <c r="E156" s="53"/>
    </row>
    <row r="157">
      <c r="D157" s="53" t="str">
        <f t="array" ref="D157">IF('Wątki'!B151=$A$1,INDIRECT("Klasa"),IF('Wątki'!B151=$A$2,INDIRECT("Grupa"),IF('Wątki'!B151=$A$3,INDIRECT("Postać"),"Nie")))</f>
        <v>Nie</v>
      </c>
      <c r="E157" s="53"/>
    </row>
    <row r="158">
      <c r="D158" s="53" t="str">
        <f t="array" ref="D158">IF('Wątki'!B152=$A$1,INDIRECT("Klasa"),IF('Wątki'!B152=$A$2,INDIRECT("Grupa"),IF('Wątki'!B152=$A$3,INDIRECT("Postać"),"Nie")))</f>
        <v>Nie</v>
      </c>
      <c r="E158" s="53"/>
    </row>
    <row r="159">
      <c r="D159" s="53" t="str">
        <f t="array" ref="D159">IF('Wątki'!B153=$A$1,INDIRECT("Klasa"),IF('Wątki'!B153=$A$2,INDIRECT("Grupa"),IF('Wątki'!B153=$A$3,INDIRECT("Postać"),"Nie")))</f>
        <v>Nie</v>
      </c>
      <c r="E159" s="53"/>
    </row>
    <row r="160">
      <c r="D160" s="53" t="str">
        <f t="array" ref="D160">IF('Wątki'!B154=$A$1,INDIRECT("Klasa"),IF('Wątki'!B154=$A$2,INDIRECT("Grupa"),IF('Wątki'!B154=$A$3,INDIRECT("Postać"),"Nie")))</f>
        <v>Nie</v>
      </c>
      <c r="E160" s="53"/>
    </row>
    <row r="161">
      <c r="D161" s="53" t="str">
        <f t="array" ref="D161">IF('Wątki'!B155=$A$1,INDIRECT("Klasa"),IF('Wątki'!B155=$A$2,INDIRECT("Grupa"),IF('Wątki'!B155=$A$3,INDIRECT("Postać"),"Nie")))</f>
        <v>Nie</v>
      </c>
      <c r="E161" s="53"/>
    </row>
    <row r="162">
      <c r="D162" s="53" t="str">
        <f t="array" ref="D162">IF('Wątki'!B156=$A$1,INDIRECT("Klasa"),IF('Wątki'!B156=$A$2,INDIRECT("Grupa"),IF('Wątki'!B156=$A$3,INDIRECT("Postać"),"Nie")))</f>
        <v>Nie</v>
      </c>
      <c r="E162" s="53"/>
    </row>
    <row r="163">
      <c r="D163" s="53" t="str">
        <f t="array" ref="D163">IF('Wątki'!B157=$A$1,INDIRECT("Klasa"),IF('Wątki'!B157=$A$2,INDIRECT("Grupa"),IF('Wątki'!B157=$A$3,INDIRECT("Postać"),"Nie")))</f>
        <v>Nie</v>
      </c>
      <c r="E163" s="53"/>
    </row>
    <row r="164">
      <c r="D164" s="53" t="str">
        <f t="array" ref="D164">IF('Wątki'!B158=$A$1,INDIRECT("Klasa"),IF('Wątki'!B158=$A$2,INDIRECT("Grupa"),IF('Wątki'!B158=$A$3,INDIRECT("Postać"),"Nie")))</f>
        <v>Nie</v>
      </c>
      <c r="E164" s="53"/>
    </row>
    <row r="165">
      <c r="D165" s="53" t="str">
        <f t="array" ref="D165">IF('Wątki'!B159=$A$1,INDIRECT("Klasa"),IF('Wątki'!B159=$A$2,INDIRECT("Grupa"),IF('Wątki'!B159=$A$3,INDIRECT("Postać"),"Nie")))</f>
        <v>Nie</v>
      </c>
      <c r="E165" s="53"/>
    </row>
    <row r="166">
      <c r="D166" s="53" t="str">
        <f t="array" ref="D166">IF('Wątki'!B160=$A$1,INDIRECT("Klasa"),IF('Wątki'!B160=$A$2,INDIRECT("Grupa"),IF('Wątki'!B160=$A$3,INDIRECT("Postać"),"Nie")))</f>
        <v>Nie</v>
      </c>
      <c r="E166" s="53"/>
    </row>
    <row r="167">
      <c r="D167" s="53" t="str">
        <f t="array" ref="D167">IF('Wątki'!B161=$A$1,INDIRECT("Klasa"),IF('Wątki'!B161=$A$2,INDIRECT("Grupa"),IF('Wątki'!B161=$A$3,INDIRECT("Postać"),"Nie")))</f>
        <v>Nie</v>
      </c>
      <c r="E167" s="53"/>
    </row>
    <row r="168">
      <c r="D168" s="53" t="str">
        <f t="array" ref="D168">IF('Wątki'!B162=$A$1,INDIRECT("Klasa"),IF('Wątki'!B162=$A$2,INDIRECT("Grupa"),IF('Wątki'!B162=$A$3,INDIRECT("Postać"),"Nie")))</f>
        <v>Nie</v>
      </c>
      <c r="E168" s="53"/>
    </row>
    <row r="169">
      <c r="D169" s="53" t="str">
        <f t="array" ref="D169">IF('Wątki'!B163=$A$1,INDIRECT("Klasa"),IF('Wątki'!B163=$A$2,INDIRECT("Grupa"),IF('Wątki'!B163=$A$3,INDIRECT("Postać"),"Nie")))</f>
        <v>Nie</v>
      </c>
      <c r="E169" s="53"/>
    </row>
    <row r="170">
      <c r="D170" s="53" t="str">
        <f t="array" ref="D170">IF('Wątki'!B164=$A$1,INDIRECT("Klasa"),IF('Wątki'!B164=$A$2,INDIRECT("Grupa"),IF('Wątki'!B164=$A$3,INDIRECT("Postać"),"Nie")))</f>
        <v>Nie</v>
      </c>
      <c r="E170" s="53"/>
    </row>
    <row r="171">
      <c r="D171" s="53" t="str">
        <f t="array" ref="D171">IF('Wątki'!B165=$A$1,INDIRECT("Klasa"),IF('Wątki'!B165=$A$2,INDIRECT("Grupa"),IF('Wątki'!B165=$A$3,INDIRECT("Postać"),"Nie")))</f>
        <v>Nie</v>
      </c>
      <c r="E171" s="53"/>
    </row>
    <row r="172">
      <c r="D172" s="53" t="str">
        <f t="array" ref="D172">IF('Wątki'!B166=$A$1,INDIRECT("Klasa"),IF('Wątki'!B166=$A$2,INDIRECT("Grupa"),IF('Wątki'!B166=$A$3,INDIRECT("Postać"),"Nie")))</f>
        <v>Nie</v>
      </c>
      <c r="E172" s="53"/>
    </row>
    <row r="173">
      <c r="D173" s="53" t="str">
        <f t="array" ref="D173">IF('Wątki'!B167=$A$1,INDIRECT("Klasa"),IF('Wątki'!B167=$A$2,INDIRECT("Grupa"),IF('Wątki'!B167=$A$3,INDIRECT("Postać"),"Nie")))</f>
        <v>Nie</v>
      </c>
      <c r="E173" s="53"/>
    </row>
    <row r="174">
      <c r="D174" s="53" t="str">
        <f t="array" ref="D174">IF('Wątki'!B168=$A$1,INDIRECT("Klasa"),IF('Wątki'!B168=$A$2,INDIRECT("Grupa"),IF('Wątki'!B168=$A$3,INDIRECT("Postać"),"Nie")))</f>
        <v>Nie</v>
      </c>
      <c r="E174" s="53"/>
    </row>
    <row r="175">
      <c r="D175" s="53" t="str">
        <f t="array" ref="D175">IF('Wątki'!B169=$A$1,INDIRECT("Klasa"),IF('Wątki'!B169=$A$2,INDIRECT("Grupa"),IF('Wątki'!B169=$A$3,INDIRECT("Postać"),"Nie")))</f>
        <v>Nie</v>
      </c>
      <c r="E175" s="53"/>
    </row>
    <row r="176">
      <c r="D176" s="53" t="str">
        <f t="array" ref="D176">IF('Wątki'!B170=$A$1,INDIRECT("Klasa"),IF('Wątki'!B170=$A$2,INDIRECT("Grupa"),IF('Wątki'!B170=$A$3,INDIRECT("Postać"),"Nie")))</f>
        <v>Nie</v>
      </c>
      <c r="E176" s="53"/>
    </row>
    <row r="177">
      <c r="D177" s="53" t="str">
        <f t="array" ref="D177">IF('Wątki'!B171=$A$1,INDIRECT("Klasa"),IF('Wątki'!B171=$A$2,INDIRECT("Grupa"),IF('Wątki'!B171=$A$3,INDIRECT("Postać"),"Nie")))</f>
        <v>Nie</v>
      </c>
      <c r="E177" s="53"/>
    </row>
    <row r="178">
      <c r="D178" s="53" t="str">
        <f t="array" ref="D178">IF('Wątki'!B172=$A$1,INDIRECT("Klasa"),IF('Wątki'!B172=$A$2,INDIRECT("Grupa"),IF('Wątki'!B172=$A$3,INDIRECT("Postać"),"Nie")))</f>
        <v>Nie</v>
      </c>
      <c r="E178" s="53"/>
    </row>
    <row r="179">
      <c r="D179" s="53" t="str">
        <f t="array" ref="D179">IF('Wątki'!B173=$A$1,INDIRECT("Klasa"),IF('Wątki'!B173=$A$2,INDIRECT("Grupa"),IF('Wątki'!B173=$A$3,INDIRECT("Postać"),"Nie")))</f>
        <v>Nie</v>
      </c>
      <c r="E179" s="53"/>
    </row>
    <row r="180">
      <c r="D180" s="53" t="str">
        <f t="array" ref="D180">IF('Wątki'!B174=$A$1,INDIRECT("Klasa"),IF('Wątki'!B174=$A$2,INDIRECT("Grupa"),IF('Wątki'!B174=$A$3,INDIRECT("Postać"),"Nie")))</f>
        <v>Nie</v>
      </c>
      <c r="E180" s="53"/>
    </row>
    <row r="181">
      <c r="D181" s="53" t="str">
        <f t="array" ref="D181">IF('Wątki'!B175=$A$1,INDIRECT("Klasa"),IF('Wątki'!B175=$A$2,INDIRECT("Grupa"),IF('Wątki'!B175=$A$3,INDIRECT("Postać"),"Nie")))</f>
        <v>Nie</v>
      </c>
      <c r="E181" s="53"/>
    </row>
    <row r="182">
      <c r="D182" s="53" t="str">
        <f t="array" ref="D182">IF('Wątki'!B176=$A$1,INDIRECT("Klasa"),IF('Wątki'!B176=$A$2,INDIRECT("Grupa"),IF('Wątki'!B176=$A$3,INDIRECT("Postać"),"Nie")))</f>
        <v>Nie</v>
      </c>
      <c r="E182" s="53"/>
    </row>
    <row r="183">
      <c r="D183" s="53" t="str">
        <f t="array" ref="D183">IF('Wątki'!B177=$A$1,INDIRECT("Klasa"),IF('Wątki'!B177=$A$2,INDIRECT("Grupa"),IF('Wątki'!B177=$A$3,INDIRECT("Postać"),"Nie")))</f>
        <v>Nie</v>
      </c>
      <c r="E183" s="53"/>
    </row>
    <row r="184">
      <c r="D184" s="53" t="str">
        <f t="array" ref="D184">IF('Wątki'!B178=$A$1,INDIRECT("Klasa"),IF('Wątki'!B178=$A$2,INDIRECT("Grupa"),IF('Wątki'!B178=$A$3,INDIRECT("Postać"),"Nie")))</f>
        <v>Nie</v>
      </c>
      <c r="E184" s="53"/>
    </row>
    <row r="185">
      <c r="D185" s="53" t="str">
        <f t="array" ref="D185">IF('Wątki'!B179=$A$1,INDIRECT("Klasa"),IF('Wątki'!B179=$A$2,INDIRECT("Grupa"),IF('Wątki'!B179=$A$3,INDIRECT("Postać"),"Nie")))</f>
        <v>Nie</v>
      </c>
      <c r="E185" s="53"/>
    </row>
    <row r="186">
      <c r="D186" s="53" t="str">
        <f t="array" ref="D186">IF('Wątki'!B180=$A$1,INDIRECT("Klasa"),IF('Wątki'!B180=$A$2,INDIRECT("Grupa"),IF('Wątki'!B180=$A$3,INDIRECT("Postać"),"Nie")))</f>
        <v>Nie</v>
      </c>
      <c r="E186" s="53"/>
    </row>
    <row r="187">
      <c r="D187" s="53" t="str">
        <f t="array" ref="D187">IF('Wątki'!B181=$A$1,INDIRECT("Klasa"),IF('Wątki'!B181=$A$2,INDIRECT("Grupa"),IF('Wątki'!B181=$A$3,INDIRECT("Postać"),"Nie")))</f>
        <v>Nie</v>
      </c>
      <c r="E187" s="53"/>
    </row>
    <row r="188">
      <c r="D188" s="53" t="str">
        <f t="array" ref="D188">IF('Wątki'!B182=$A$1,INDIRECT("Klasa"),IF('Wątki'!B182=$A$2,INDIRECT("Grupa"),IF('Wątki'!B182=$A$3,INDIRECT("Postać"),"Nie")))</f>
        <v>Nie</v>
      </c>
      <c r="E188" s="53"/>
    </row>
    <row r="189">
      <c r="D189" s="53" t="str">
        <f t="array" ref="D189">IF('Wątki'!B183=$A$1,INDIRECT("Klasa"),IF('Wątki'!B183=$A$2,INDIRECT("Grupa"),IF('Wątki'!B183=$A$3,INDIRECT("Postać"),"Nie")))</f>
        <v>Nie</v>
      </c>
      <c r="E189" s="53"/>
    </row>
    <row r="190">
      <c r="D190" s="53" t="str">
        <f t="array" ref="D190">IF('Wątki'!B184=$A$1,INDIRECT("Klasa"),IF('Wątki'!B184=$A$2,INDIRECT("Grupa"),IF('Wątki'!B184=$A$3,INDIRECT("Postać"),"Nie")))</f>
        <v>Nie</v>
      </c>
      <c r="E190" s="53"/>
    </row>
    <row r="191">
      <c r="D191" s="53" t="str">
        <f t="array" ref="D191">IF('Wątki'!B185=$A$1,INDIRECT("Klasa"),IF('Wątki'!B185=$A$2,INDIRECT("Grupa"),IF('Wątki'!B185=$A$3,INDIRECT("Postać"),"Nie")))</f>
        <v>Nie</v>
      </c>
      <c r="E191" s="53"/>
    </row>
    <row r="192">
      <c r="D192" s="53" t="str">
        <f t="array" ref="D192">IF('Wątki'!B186=$A$1,INDIRECT("Klasa"),IF('Wątki'!B186=$A$2,INDIRECT("Grupa"),IF('Wątki'!B186=$A$3,INDIRECT("Postać"),"Nie")))</f>
        <v>Nie</v>
      </c>
      <c r="E192" s="53"/>
    </row>
    <row r="193">
      <c r="D193" s="53" t="str">
        <f t="array" ref="D193">IF('Wątki'!B187=$A$1,INDIRECT("Klasa"),IF('Wątki'!B187=$A$2,INDIRECT("Grupa"),IF('Wątki'!B187=$A$3,INDIRECT("Postać"),"Nie")))</f>
        <v>Nie</v>
      </c>
      <c r="E193" s="53"/>
    </row>
    <row r="194">
      <c r="D194" s="53" t="str">
        <f t="array" ref="D194">IF('Wątki'!B188=$A$1,INDIRECT("Klasa"),IF('Wątki'!B188=$A$2,INDIRECT("Grupa"),IF('Wątki'!B188=$A$3,INDIRECT("Postać"),"Nie")))</f>
        <v>Nie</v>
      </c>
      <c r="E194" s="53"/>
    </row>
    <row r="195">
      <c r="D195" s="53" t="str">
        <f t="array" ref="D195">IF('Wątki'!B195=$A$1,INDIRECT("Klasa"),IF('Wątki'!B195=$A$2,INDIRECT("Grupa"),IF('Wątki'!B195=$A$3,INDIRECT("Postać"),"Nie")))</f>
        <v>Nie</v>
      </c>
      <c r="E195" s="53"/>
    </row>
    <row r="196">
      <c r="D196" s="53" t="str">
        <f t="array" ref="D196">IF('Wątki'!B196=$A$1,INDIRECT("Klasa"),IF('Wątki'!B196=$A$2,INDIRECT("Grupa"),IF('Wątki'!B196=$A$3,INDIRECT("Postać"),"Nie")))</f>
        <v>Nie</v>
      </c>
      <c r="E196" s="53"/>
    </row>
    <row r="197">
      <c r="D197" s="53" t="str">
        <f t="array" ref="D197">IF('Wątki'!B197=$A$1,INDIRECT("Klasa"),IF('Wątki'!B197=$A$2,INDIRECT("Grupa"),IF('Wątki'!B197=$A$3,INDIRECT("Postać"),"Nie")))</f>
        <v>Nie</v>
      </c>
      <c r="E197" s="53"/>
    </row>
    <row r="198">
      <c r="D198" s="53" t="str">
        <f t="array" ref="D198">IF('Wątki'!B198=$A$1,INDIRECT("Klasa"),IF('Wątki'!B198=$A$2,INDIRECT("Grupa"),IF('Wątki'!B198=$A$3,INDIRECT("Postać"),"Nie")))</f>
        <v>Nie</v>
      </c>
      <c r="E198" s="53"/>
    </row>
    <row r="199">
      <c r="D199" s="53" t="str">
        <f t="array" ref="D199">IF('Wątki'!B207=$A$1,INDIRECT("Klasa"),IF('Wątki'!B207=$A$2,INDIRECT("Grupa"),IF('Wątki'!B207=$A$3,INDIRECT("Postać"),"Nie")))</f>
        <v>Nie</v>
      </c>
      <c r="E199" s="53"/>
    </row>
    <row r="201">
      <c r="A201" s="60" t="str">
        <f t="array" ref="A201:A202">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Miasto Khorinis</v>
      </c>
      <c r="B201" s="60" t="str">
        <f t="array" ref="B201:B209">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Ardea</v>
      </c>
      <c r="C201" s="60" t="str">
        <f t="array" ref="C201:C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D201" s="60" t="str">
        <f t="array" ref="D201:D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E201" s="60" t="str">
        <f t="array" ref="E201:E205">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Archolos</v>
      </c>
      <c r="F201" s="60" t="str">
        <f t="array" ref="F201:F202">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Miasto Khorinis</v>
      </c>
      <c r="G201" s="60" t="str">
        <f t="array" ref="G201:G209">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Ardea</v>
      </c>
      <c r="H201" s="60" t="str">
        <f t="array" ref="H201:H202">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Miasto Khorinis</v>
      </c>
      <c r="I201" s="60" t="str">
        <f t="array" ref="I201:I202">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Miasto Khorinis</v>
      </c>
      <c r="J201" s="60" t="str">
        <f t="array" ref="J201:J209">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Ardea</v>
      </c>
      <c r="K201" s="60" t="str">
        <f t="array" ref="K201:K209">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Ardea</v>
      </c>
      <c r="L201" s="60" t="str">
        <f t="array" ref="L201:L202">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Miasto Khorinis</v>
      </c>
      <c r="M201" s="60" t="str">
        <f t="array" ref="M201:M209">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Ardea</v>
      </c>
      <c r="N201" s="60" t="str">
        <f t="array" ref="N201:N209">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Ardea</v>
      </c>
      <c r="O201" s="60" t="str">
        <f t="array" ref="O201:O205">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Miasto Archolos</v>
      </c>
      <c r="P201" s="60" t="str">
        <f t="array" ref="P201:P202">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Miasto Khorinis</v>
      </c>
      <c r="Q201" s="60" t="str">
        <f t="array" ref="Q201:Q202">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Miasto Khorinis</v>
      </c>
      <c r="R201" s="60" t="str">
        <f t="array" ref="R201:R209">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Ardea</v>
      </c>
      <c r="S201" s="60" t="str">
        <f t="array" ref="S201:S209">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Ardea</v>
      </c>
      <c r="T201" s="60" t="str">
        <f t="array" ref="T201:T209">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Ardea</v>
      </c>
      <c r="U201" s="60" t="str">
        <f t="array" ref="U201:U205">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Miasto Archolos</v>
      </c>
      <c r="V201" s="60" t="str">
        <f t="array" ref="V201:V209">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Ardea</v>
      </c>
      <c r="W201" s="60" t="str">
        <f t="array" ref="W201:W205">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Miasto Archolos</v>
      </c>
      <c r="X201" s="60" t="str">
        <f t="array" ref="X201:X203">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Klan Młota</v>
      </c>
      <c r="Y201" s="60" t="str">
        <f t="array" ref="Y201:Y205">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Miasto Archolos</v>
      </c>
      <c r="Z201" s="60" t="str">
        <f t="array" ref="Z201:Z207">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Ishtar</v>
      </c>
      <c r="AA201" s="60" t="str">
        <f t="array" ref="AA201">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Wyspy Południowe</v>
      </c>
      <c r="AB201" s="60" t="str">
        <f t="array" ref="AB201:AB202">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Miasto Khorinis</v>
      </c>
      <c r="AC201" s="60" t="str">
        <f t="array" ref="AC201:AC205">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Miasto Archolos</v>
      </c>
      <c r="AD201" s="60" t="str">
        <f t="array" ref="AD201:AD202">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Miasto Khorinis</v>
      </c>
      <c r="AE201" s="60" t="str">
        <f t="array" ref="AE201:AE202">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Miasto Khorinis</v>
      </c>
      <c r="AF201" s="60" t="str">
        <f t="array" ref="AF201:AF205">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Miasto Archolos</v>
      </c>
      <c r="AG201" s="60" t="str">
        <f t="array" ref="AG201:AG205">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Miasto Archolos</v>
      </c>
      <c r="AH201" s="60" t="str">
        <f t="array" ref="AH201:AH209">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Ardea</v>
      </c>
      <c r="AI201" s="60" t="str">
        <f t="array" ref="AI201:AI205">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Miasto Archolos</v>
      </c>
      <c r="AJ201" s="60" t="str">
        <f t="array" ref="AJ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Wyspy Południowe</v>
      </c>
      <c r="AK201" s="60" t="str">
        <f t="array" ref="AK201:AK202">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Miasto Khorinis</v>
      </c>
      <c r="AL201" s="60" t="str">
        <f t="array" ref="AL201:AL205">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Miasto Archolos</v>
      </c>
      <c r="AM201" s="60" t="str">
        <f t="array" ref="AM201:AM202">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Miasto Khorinis</v>
      </c>
      <c r="AN201" s="60" t="str">
        <f t="array" ref="AN201:AN203">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Klan Młota</v>
      </c>
      <c r="AO201" s="60" t="str">
        <f t="array" ref="AO201:AO209">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Ardea</v>
      </c>
      <c r="AP201" s="60" t="str">
        <f t="array" ref="AP201:AP209">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Ardea</v>
      </c>
      <c r="AQ201" s="60" t="str">
        <f t="array" ref="AQ201:AQ202">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Miasto Khorinis</v>
      </c>
      <c r="AR201" s="60" t="str">
        <f t="array" ref="AR201:AR202">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Miasto Khorinis</v>
      </c>
      <c r="AS201" s="60" t="str">
        <f t="array" ref="AS201:AS202">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Miasto Khorinis</v>
      </c>
      <c r="AT201" s="60" t="str">
        <f t="array" ref="AT201:AT202">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Miasto Khorinis</v>
      </c>
      <c r="AU201" s="60" t="str">
        <f t="array" ref="AU201:AU202">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Miasto Khorinis</v>
      </c>
      <c r="AV201" s="60" t="str">
        <f t="array" ref="AV201:AV209">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Ardea</v>
      </c>
      <c r="AW201" s="60" t="str">
        <f t="array" ref="AW201:AW205">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Miasto Archolos</v>
      </c>
      <c r="AX201" s="60" t="str">
        <f t="array" ref="AX201:AX202">IF(Postacie!$D51=$A$22,INDIRECT("PochodzenieKhorinis"),IF(Postacie!$D51=$A$24,INDIRECT("PochodzenieMyrtana"),IF(Postacie!$D51=$A$33,INDIRECT("PochodzenieVarant"),IF(Postacie!$D51=$A$40,INDIRECT("PochodzenieArcholos"),IF(Postacie!$D51=$A$45,INDIRECT("PochodzenieNordmar"),IF(Postacie!$D51=$A$48,INDIRECT("PochodzenieWyspyPołudniowe"),IF(Postacie!$D51=$A$49,INDIRECT("PochodzenieWschodniArchipelag"))))))))</f>
        <v>Miasto Khorinis</v>
      </c>
      <c r="AY201" s="60" t="str">
        <f t="array" ref="AY201:AY205">IF(Postacie!$D52=$A$22,INDIRECT("PochodzenieKhorinis"),IF(Postacie!$D52=$A$24,INDIRECT("PochodzenieMyrtana"),IF(Postacie!$D52=$A$33,INDIRECT("PochodzenieVarant"),IF(Postacie!$D52=$A$40,INDIRECT("PochodzenieArcholos"),IF(Postacie!$D52=$A$45,INDIRECT("PochodzenieNordmar"),IF(Postacie!$D52=$A$48,INDIRECT("PochodzenieWyspyPołudniowe"),IF(Postacie!$D52=$A$49,INDIRECT("PochodzenieWschodniArchipelag"))))))))</f>
        <v>Miasto Archolos</v>
      </c>
      <c r="AZ201" s="60" t="str">
        <f t="array" ref="AZ201:AZ207">IF(Postacie!$D53=$A$22,INDIRECT("PochodzenieKhorinis"),IF(Postacie!$D53=$A$24,INDIRECT("PochodzenieMyrtana"),IF(Postacie!$D53=$A$33,INDIRECT("PochodzenieVarant"),IF(Postacie!$D53=$A$40,INDIRECT("PochodzenieArcholos"),IF(Postacie!$D53=$A$45,INDIRECT("PochodzenieNordmar"),IF(Postacie!$D53=$A$48,INDIRECT("PochodzenieWyspyPołudniowe"),IF(Postacie!$D53=$A$49,INDIRECT("PochodzenieWschodniArchipelag"))))))))</f>
        <v>Ishtar</v>
      </c>
      <c r="BA201" s="60" t="str">
        <f t="array" ref="BA201:BA205">IF(Postacie!$D54=$A$22,INDIRECT("PochodzenieKhorinis"),IF(Postacie!$D54=$A$24,INDIRECT("PochodzenieMyrtana"),IF(Postacie!$D54=$A$33,INDIRECT("PochodzenieVarant"),IF(Postacie!$D54=$A$40,INDIRECT("PochodzenieArcholos"),IF(Postacie!$D54=$A$45,INDIRECT("PochodzenieNordmar"),IF(Postacie!$D54=$A$48,INDIRECT("PochodzenieWyspyPołudniowe"),IF(Postacie!$D54=$A$49,INDIRECT("PochodzenieWschodniArchipelag"))))))))</f>
        <v>Miasto Archolos</v>
      </c>
      <c r="BB201" s="60" t="str">
        <f t="array" ref="BB201:BB209">IF(Postacie!$D55=$A$22,INDIRECT("PochodzenieKhorinis"),IF(Postacie!$D55=$A$24,INDIRECT("PochodzenieMyrtana"),IF(Postacie!$D55=$A$33,INDIRECT("PochodzenieVarant"),IF(Postacie!$D55=$A$40,INDIRECT("PochodzenieArcholos"),IF(Postacie!$D55=$A$45,INDIRECT("PochodzenieNordmar"),IF(Postacie!$D55=$A$48,INDIRECT("PochodzenieWyspyPołudniowe"),IF(Postacie!$D55=$A$49,INDIRECT("PochodzenieWschodniArchipelag"))))))))</f>
        <v>Ardea</v>
      </c>
      <c r="BC201" s="60" t="str">
        <f t="array" ref="BC201:BC202">IF(Postacie!$D56=$A$22,INDIRECT("PochodzenieKhorinis"),IF(Postacie!$D56=$A$24,INDIRECT("PochodzenieMyrtana"),IF(Postacie!$D56=$A$33,INDIRECT("PochodzenieVarant"),IF(Postacie!$D56=$A$40,INDIRECT("PochodzenieArcholos"),IF(Postacie!$D56=$A$45,INDIRECT("PochodzenieNordmar"),IF(Postacie!$D56=$A$48,INDIRECT("PochodzenieWyspyPołudniowe"),IF(Postacie!$D56=$A$49,INDIRECT("PochodzenieWschodniArchipelag"))))))))</f>
        <v>Miasto Khorinis</v>
      </c>
      <c r="BD201" s="60" t="str">
        <f t="array" ref="BD201:BD205">IF(Postacie!$D57=$A$22,INDIRECT("PochodzenieKhorinis"),IF(Postacie!$D57=$A$24,INDIRECT("PochodzenieMyrtana"),IF(Postacie!$D57=$A$33,INDIRECT("PochodzenieVarant"),IF(Postacie!$D57=$A$40,INDIRECT("PochodzenieArcholos"),IF(Postacie!$D57=$A$45,INDIRECT("PochodzenieNordmar"),IF(Postacie!$D57=$A$48,INDIRECT("PochodzenieWyspyPołudniowe"),IF(Postacie!$D57=$A$49,INDIRECT("PochodzenieWschodniArchipelag"))))))))</f>
        <v>Miasto Archolos</v>
      </c>
      <c r="BE201" s="60" t="b">
        <f t="array" ref="BE201">IF(Postacie!$D58=$A$22,INDIRECT("PochodzenieKhorinis"),IF(Postacie!$D58=$A$24,INDIRECT("PochodzenieMyrtana"),IF(Postacie!$D58=$A$33,INDIRECT("PochodzenieVarant"),IF(Postacie!$D58=$A$40,INDIRECT("PochodzenieArcholos"),IF(Postacie!$D58=$A$45,INDIRECT("PochodzenieNordmar"),IF(Postacie!$D58=$A$48,INDIRECT("PochodzenieWyspyPołudniowe"),IF(Postacie!$D58=$A$49,INDIRECT("PochodzenieWschodniArchipelag"))))))))</f>
        <v>0</v>
      </c>
      <c r="BF201" s="60" t="b">
        <f t="array" ref="BF201">IF(Postacie!$D59=$A$22,INDIRECT("PochodzenieKhorinis"),IF(Postacie!$D59=$A$24,INDIRECT("PochodzenieMyrtana"),IF(Postacie!$D59=$A$33,INDIRECT("PochodzenieVarant"),IF(Postacie!$D59=$A$40,INDIRECT("PochodzenieArcholos"),IF(Postacie!$D59=$A$45,INDIRECT("PochodzenieNordmar"),IF(Postacie!$D59=$A$48,INDIRECT("PochodzenieWyspyPołudniowe"),IF(Postacie!$D59=$A$49,INDIRECT("PochodzenieWschodniArchipelag"))))))))</f>
        <v>0</v>
      </c>
      <c r="BG201" s="60" t="b">
        <f t="array" ref="BG201">IF(Postacie!$D60=$A$22,INDIRECT("PochodzenieKhorinis"),IF(Postacie!$D60=$A$24,INDIRECT("PochodzenieMyrtana"),IF(Postacie!$D60=$A$33,INDIRECT("PochodzenieVarant"),IF(Postacie!$D60=$A$40,INDIRECT("PochodzenieArcholos"),IF(Postacie!$D60=$A$45,INDIRECT("PochodzenieNordmar"),IF(Postacie!$D60=$A$48,INDIRECT("PochodzenieWyspyPołudniowe"),IF(Postacie!$D60=$A$49,INDIRECT("PochodzenieWschodniArchipelag"))))))))</f>
        <v>0</v>
      </c>
      <c r="BH201" s="60" t="b">
        <f t="array" ref="BH201">IF(Postacie!$D61=$A$22,INDIRECT("PochodzenieKhorinis"),IF(Postacie!$D61=$A$24,INDIRECT("PochodzenieMyrtana"),IF(Postacie!$D61=$A$33,INDIRECT("PochodzenieVarant"),IF(Postacie!$D61=$A$40,INDIRECT("PochodzenieArcholos"),IF(Postacie!$D61=$A$45,INDIRECT("PochodzenieNordmar"),IF(Postacie!$D61=$A$48,INDIRECT("PochodzenieWyspyPołudniowe"),IF(Postacie!$D61=$A$49,INDIRECT("PochodzenieWschodniArchipelag"))))))))</f>
        <v>0</v>
      </c>
    </row>
    <row r="202">
      <c r="A202" s="60" t="s">
        <v>58</v>
      </c>
      <c r="B202" s="60" t="s">
        <v>689</v>
      </c>
      <c r="C202" s="60" t="s">
        <v>58</v>
      </c>
      <c r="D202" s="60" t="s">
        <v>58</v>
      </c>
      <c r="E202" s="60" t="s">
        <v>47</v>
      </c>
      <c r="F202" s="60" t="s">
        <v>58</v>
      </c>
      <c r="G202" s="60" t="s">
        <v>689</v>
      </c>
      <c r="H202" s="60" t="s">
        <v>58</v>
      </c>
      <c r="I202" s="60" t="s">
        <v>58</v>
      </c>
      <c r="J202" s="60" t="s">
        <v>689</v>
      </c>
      <c r="K202" s="60" t="s">
        <v>689</v>
      </c>
      <c r="L202" s="60" t="s">
        <v>58</v>
      </c>
      <c r="M202" s="60" t="s">
        <v>689</v>
      </c>
      <c r="N202" s="60" t="s">
        <v>689</v>
      </c>
      <c r="O202" s="60" t="s">
        <v>47</v>
      </c>
      <c r="P202" s="60" t="s">
        <v>58</v>
      </c>
      <c r="Q202" s="60" t="s">
        <v>58</v>
      </c>
      <c r="R202" s="60" t="s">
        <v>689</v>
      </c>
      <c r="S202" s="60" t="s">
        <v>689</v>
      </c>
      <c r="T202" s="60" t="s">
        <v>689</v>
      </c>
      <c r="U202" s="60" t="s">
        <v>47</v>
      </c>
      <c r="V202" s="60" t="s">
        <v>689</v>
      </c>
      <c r="W202" s="60" t="s">
        <v>47</v>
      </c>
      <c r="X202" s="60" t="s">
        <v>699</v>
      </c>
      <c r="Y202" s="60" t="s">
        <v>47</v>
      </c>
      <c r="Z202" s="60" t="s">
        <v>692</v>
      </c>
      <c r="AA202" s="60"/>
      <c r="AB202" s="60" t="s">
        <v>58</v>
      </c>
      <c r="AC202" s="60" t="s">
        <v>47</v>
      </c>
      <c r="AD202" s="60" t="s">
        <v>58</v>
      </c>
      <c r="AE202" s="60" t="s">
        <v>58</v>
      </c>
      <c r="AF202" s="60" t="s">
        <v>47</v>
      </c>
      <c r="AG202" s="60" t="s">
        <v>47</v>
      </c>
      <c r="AH202" s="60" t="s">
        <v>689</v>
      </c>
      <c r="AI202" s="60" t="s">
        <v>47</v>
      </c>
      <c r="AJ202" s="60"/>
      <c r="AK202" s="60" t="s">
        <v>58</v>
      </c>
      <c r="AL202" s="60" t="s">
        <v>47</v>
      </c>
      <c r="AM202" s="60" t="s">
        <v>58</v>
      </c>
      <c r="AN202" s="60" t="s">
        <v>699</v>
      </c>
      <c r="AO202" s="60" t="s">
        <v>689</v>
      </c>
      <c r="AP202" s="60" t="s">
        <v>689</v>
      </c>
      <c r="AQ202" s="60" t="s">
        <v>58</v>
      </c>
      <c r="AR202" s="60" t="s">
        <v>58</v>
      </c>
      <c r="AS202" s="60" t="s">
        <v>58</v>
      </c>
      <c r="AT202" s="60" t="s">
        <v>58</v>
      </c>
      <c r="AU202" s="60" t="s">
        <v>58</v>
      </c>
      <c r="AV202" s="60" t="s">
        <v>689</v>
      </c>
      <c r="AW202" s="60" t="s">
        <v>47</v>
      </c>
      <c r="AX202" s="60" t="s">
        <v>58</v>
      </c>
      <c r="AY202" s="60" t="s">
        <v>47</v>
      </c>
      <c r="AZ202" s="60" t="s">
        <v>692</v>
      </c>
      <c r="BA202" s="60" t="s">
        <v>47</v>
      </c>
      <c r="BB202" s="60" t="s">
        <v>689</v>
      </c>
      <c r="BC202" s="60" t="s">
        <v>58</v>
      </c>
      <c r="BD202" s="60" t="s">
        <v>47</v>
      </c>
      <c r="BE202" s="60"/>
      <c r="BF202" s="60"/>
      <c r="BG202" s="60"/>
      <c r="BH202" s="60"/>
    </row>
    <row r="203">
      <c r="A203" s="60"/>
      <c r="B203" s="60" t="s">
        <v>31</v>
      </c>
      <c r="C203" s="60"/>
      <c r="D203" s="60"/>
      <c r="E203" s="60" t="s">
        <v>697</v>
      </c>
      <c r="F203" s="60"/>
      <c r="G203" s="60" t="s">
        <v>31</v>
      </c>
      <c r="H203" s="60"/>
      <c r="I203" s="60"/>
      <c r="J203" s="60" t="s">
        <v>31</v>
      </c>
      <c r="K203" s="60" t="s">
        <v>31</v>
      </c>
      <c r="L203" s="60"/>
      <c r="M203" s="60" t="s">
        <v>31</v>
      </c>
      <c r="N203" s="60" t="s">
        <v>31</v>
      </c>
      <c r="O203" s="60" t="s">
        <v>697</v>
      </c>
      <c r="P203" s="60"/>
      <c r="Q203" s="60"/>
      <c r="R203" s="60" t="s">
        <v>31</v>
      </c>
      <c r="S203" s="60" t="s">
        <v>31</v>
      </c>
      <c r="T203" s="60" t="s">
        <v>31</v>
      </c>
      <c r="U203" s="60" t="s">
        <v>697</v>
      </c>
      <c r="V203" s="60" t="s">
        <v>31</v>
      </c>
      <c r="W203" s="60" t="s">
        <v>697</v>
      </c>
      <c r="X203" s="60" t="s">
        <v>50</v>
      </c>
      <c r="Y203" s="60" t="s">
        <v>697</v>
      </c>
      <c r="Z203" s="60" t="s">
        <v>693</v>
      </c>
      <c r="AA203" s="60"/>
      <c r="AB203" s="60"/>
      <c r="AC203" s="60" t="s">
        <v>697</v>
      </c>
      <c r="AD203" s="60"/>
      <c r="AE203" s="60"/>
      <c r="AF203" s="60" t="s">
        <v>697</v>
      </c>
      <c r="AG203" s="60" t="s">
        <v>697</v>
      </c>
      <c r="AH203" s="60" t="s">
        <v>31</v>
      </c>
      <c r="AI203" s="60" t="s">
        <v>697</v>
      </c>
      <c r="AJ203" s="60"/>
      <c r="AK203" s="60"/>
      <c r="AL203" s="60" t="s">
        <v>697</v>
      </c>
      <c r="AM203" s="60"/>
      <c r="AN203" s="60" t="s">
        <v>50</v>
      </c>
      <c r="AO203" s="60" t="s">
        <v>31</v>
      </c>
      <c r="AP203" s="60" t="s">
        <v>31</v>
      </c>
      <c r="AQ203" s="60"/>
      <c r="AR203" s="60"/>
      <c r="AS203" s="60"/>
      <c r="AT203" s="60"/>
      <c r="AU203" s="60"/>
      <c r="AV203" s="60" t="s">
        <v>31</v>
      </c>
      <c r="AW203" s="60" t="s">
        <v>697</v>
      </c>
      <c r="AX203" s="60"/>
      <c r="AY203" s="60" t="s">
        <v>697</v>
      </c>
      <c r="AZ203" s="60" t="s">
        <v>693</v>
      </c>
      <c r="BA203" s="60" t="s">
        <v>697</v>
      </c>
      <c r="BB203" s="60" t="s">
        <v>31</v>
      </c>
      <c r="BC203" s="60"/>
      <c r="BD203" s="60" t="s">
        <v>697</v>
      </c>
      <c r="BE203" s="60"/>
      <c r="BF203" s="60"/>
      <c r="BG203" s="60"/>
      <c r="BH203" s="60"/>
    </row>
    <row r="204">
      <c r="A204" s="60"/>
      <c r="B204" s="60" t="s">
        <v>73</v>
      </c>
      <c r="C204" s="60"/>
      <c r="D204" s="60"/>
      <c r="E204" s="60" t="s">
        <v>36</v>
      </c>
      <c r="F204" s="60"/>
      <c r="G204" s="60" t="s">
        <v>73</v>
      </c>
      <c r="H204" s="60"/>
      <c r="I204" s="60"/>
      <c r="J204" s="60" t="s">
        <v>73</v>
      </c>
      <c r="K204" s="60" t="s">
        <v>73</v>
      </c>
      <c r="L204" s="60"/>
      <c r="M204" s="60" t="s">
        <v>73</v>
      </c>
      <c r="N204" s="60" t="s">
        <v>73</v>
      </c>
      <c r="O204" s="60" t="s">
        <v>36</v>
      </c>
      <c r="P204" s="60"/>
      <c r="Q204" s="60"/>
      <c r="R204" s="60" t="s">
        <v>73</v>
      </c>
      <c r="S204" s="60" t="s">
        <v>73</v>
      </c>
      <c r="T204" s="60" t="s">
        <v>73</v>
      </c>
      <c r="U204" s="60" t="s">
        <v>36</v>
      </c>
      <c r="V204" s="60" t="s">
        <v>73</v>
      </c>
      <c r="W204" s="60" t="s">
        <v>36</v>
      </c>
      <c r="X204" s="60"/>
      <c r="Y204" s="60" t="s">
        <v>36</v>
      </c>
      <c r="Z204" s="60" t="s">
        <v>694</v>
      </c>
      <c r="AA204" s="60"/>
      <c r="AB204" s="60"/>
      <c r="AC204" s="60" t="s">
        <v>36</v>
      </c>
      <c r="AD204" s="60"/>
      <c r="AE204" s="60"/>
      <c r="AF204" s="60" t="s">
        <v>36</v>
      </c>
      <c r="AG204" s="60" t="s">
        <v>36</v>
      </c>
      <c r="AH204" s="60" t="s">
        <v>73</v>
      </c>
      <c r="AI204" s="60" t="s">
        <v>36</v>
      </c>
      <c r="AJ204" s="60"/>
      <c r="AK204" s="60"/>
      <c r="AL204" s="60" t="s">
        <v>36</v>
      </c>
      <c r="AM204" s="60"/>
      <c r="AN204" s="60"/>
      <c r="AO204" s="60" t="s">
        <v>73</v>
      </c>
      <c r="AP204" s="60" t="s">
        <v>73</v>
      </c>
      <c r="AQ204" s="60"/>
      <c r="AR204" s="60"/>
      <c r="AS204" s="60"/>
      <c r="AT204" s="60"/>
      <c r="AU204" s="60"/>
      <c r="AV204" s="60" t="s">
        <v>73</v>
      </c>
      <c r="AW204" s="60" t="s">
        <v>36</v>
      </c>
      <c r="AX204" s="60"/>
      <c r="AY204" s="60" t="s">
        <v>36</v>
      </c>
      <c r="AZ204" s="60" t="s">
        <v>694</v>
      </c>
      <c r="BA204" s="60" t="s">
        <v>36</v>
      </c>
      <c r="BB204" s="60" t="s">
        <v>73</v>
      </c>
      <c r="BC204" s="60"/>
      <c r="BD204" s="60" t="s">
        <v>36</v>
      </c>
      <c r="BE204" s="60"/>
      <c r="BF204" s="60"/>
      <c r="BG204" s="60"/>
      <c r="BH204" s="60"/>
    </row>
    <row r="205">
      <c r="A205" s="60"/>
      <c r="B205" s="60" t="s">
        <v>18</v>
      </c>
      <c r="C205" s="60"/>
      <c r="D205" s="60"/>
      <c r="E205" s="60" t="s">
        <v>23</v>
      </c>
      <c r="F205" s="60"/>
      <c r="G205" s="60" t="s">
        <v>18</v>
      </c>
      <c r="H205" s="60"/>
      <c r="I205" s="60"/>
      <c r="J205" s="60" t="s">
        <v>18</v>
      </c>
      <c r="K205" s="60" t="s">
        <v>18</v>
      </c>
      <c r="L205" s="60"/>
      <c r="M205" s="60" t="s">
        <v>18</v>
      </c>
      <c r="N205" s="60" t="s">
        <v>18</v>
      </c>
      <c r="O205" s="60" t="s">
        <v>23</v>
      </c>
      <c r="P205" s="60"/>
      <c r="Q205" s="60"/>
      <c r="R205" s="60" t="s">
        <v>18</v>
      </c>
      <c r="S205" s="60" t="s">
        <v>18</v>
      </c>
      <c r="T205" s="60" t="s">
        <v>18</v>
      </c>
      <c r="U205" s="60" t="s">
        <v>23</v>
      </c>
      <c r="V205" s="60" t="s">
        <v>18</v>
      </c>
      <c r="W205" s="60" t="s">
        <v>23</v>
      </c>
      <c r="X205" s="60"/>
      <c r="Y205" s="60" t="s">
        <v>23</v>
      </c>
      <c r="Z205" s="60" t="s">
        <v>695</v>
      </c>
      <c r="AA205" s="60"/>
      <c r="AB205" s="60"/>
      <c r="AC205" s="60" t="s">
        <v>23</v>
      </c>
      <c r="AD205" s="60"/>
      <c r="AE205" s="60"/>
      <c r="AF205" s="60" t="s">
        <v>23</v>
      </c>
      <c r="AG205" s="60" t="s">
        <v>23</v>
      </c>
      <c r="AH205" s="60" t="s">
        <v>18</v>
      </c>
      <c r="AI205" s="60" t="s">
        <v>23</v>
      </c>
      <c r="AJ205" s="60"/>
      <c r="AK205" s="60"/>
      <c r="AL205" s="60" t="s">
        <v>23</v>
      </c>
      <c r="AM205" s="60"/>
      <c r="AN205" s="60"/>
      <c r="AO205" s="60" t="s">
        <v>18</v>
      </c>
      <c r="AP205" s="60" t="s">
        <v>18</v>
      </c>
      <c r="AQ205" s="60"/>
      <c r="AR205" s="60"/>
      <c r="AS205" s="60"/>
      <c r="AT205" s="60"/>
      <c r="AU205" s="60"/>
      <c r="AV205" s="60" t="s">
        <v>18</v>
      </c>
      <c r="AW205" s="60" t="s">
        <v>23</v>
      </c>
      <c r="AX205" s="60"/>
      <c r="AY205" s="60" t="s">
        <v>23</v>
      </c>
      <c r="AZ205" s="60" t="s">
        <v>695</v>
      </c>
      <c r="BA205" s="60" t="s">
        <v>23</v>
      </c>
      <c r="BB205" s="60" t="s">
        <v>18</v>
      </c>
      <c r="BC205" s="60"/>
      <c r="BD205" s="60" t="s">
        <v>23</v>
      </c>
      <c r="BE205" s="60"/>
      <c r="BF205" s="60"/>
      <c r="BG205" s="60"/>
      <c r="BH205" s="60"/>
    </row>
    <row r="206">
      <c r="A206" s="60"/>
      <c r="B206" s="60" t="s">
        <v>29</v>
      </c>
      <c r="C206" s="60"/>
      <c r="D206" s="60"/>
      <c r="E206" s="60"/>
      <c r="F206" s="60"/>
      <c r="G206" s="60" t="s">
        <v>29</v>
      </c>
      <c r="H206" s="60"/>
      <c r="I206" s="60"/>
      <c r="J206" s="60" t="s">
        <v>29</v>
      </c>
      <c r="K206" s="60" t="s">
        <v>29</v>
      </c>
      <c r="L206" s="60"/>
      <c r="M206" s="60" t="s">
        <v>29</v>
      </c>
      <c r="N206" s="60" t="s">
        <v>29</v>
      </c>
      <c r="O206" s="60"/>
      <c r="P206" s="60"/>
      <c r="Q206" s="60"/>
      <c r="R206" s="60" t="s">
        <v>29</v>
      </c>
      <c r="S206" s="60" t="s">
        <v>29</v>
      </c>
      <c r="T206" s="60" t="s">
        <v>29</v>
      </c>
      <c r="U206" s="60"/>
      <c r="V206" s="60" t="s">
        <v>29</v>
      </c>
      <c r="W206" s="60"/>
      <c r="X206" s="60"/>
      <c r="Y206" s="60"/>
      <c r="Z206" s="60" t="s">
        <v>85</v>
      </c>
      <c r="AA206" s="60"/>
      <c r="AB206" s="60"/>
      <c r="AC206" s="60"/>
      <c r="AD206" s="60"/>
      <c r="AE206" s="60"/>
      <c r="AF206" s="60"/>
      <c r="AG206" s="60"/>
      <c r="AH206" s="60" t="s">
        <v>29</v>
      </c>
      <c r="AI206" s="60"/>
      <c r="AJ206" s="60"/>
      <c r="AK206" s="60"/>
      <c r="AL206" s="60"/>
      <c r="AM206" s="60"/>
      <c r="AN206" s="60"/>
      <c r="AO206" s="60" t="s">
        <v>29</v>
      </c>
      <c r="AP206" s="60" t="s">
        <v>29</v>
      </c>
      <c r="AQ206" s="60"/>
      <c r="AR206" s="60"/>
      <c r="AS206" s="60"/>
      <c r="AT206" s="60"/>
      <c r="AU206" s="60"/>
      <c r="AV206" s="60" t="s">
        <v>29</v>
      </c>
      <c r="AW206" s="60"/>
      <c r="AX206" s="60"/>
      <c r="AY206" s="60"/>
      <c r="AZ206" s="60" t="s">
        <v>85</v>
      </c>
      <c r="BA206" s="60"/>
      <c r="BB206" s="60" t="s">
        <v>29</v>
      </c>
      <c r="BC206" s="60"/>
      <c r="BD206" s="60"/>
      <c r="BE206" s="60"/>
      <c r="BF206" s="60"/>
      <c r="BG206" s="60"/>
      <c r="BH206" s="60"/>
    </row>
    <row r="207">
      <c r="A207" s="60"/>
      <c r="B207" s="60" t="s">
        <v>65</v>
      </c>
      <c r="C207" s="60"/>
      <c r="D207" s="60"/>
      <c r="E207" s="60"/>
      <c r="F207" s="60"/>
      <c r="G207" s="60" t="s">
        <v>65</v>
      </c>
      <c r="H207" s="60"/>
      <c r="I207" s="60"/>
      <c r="J207" s="60" t="s">
        <v>65</v>
      </c>
      <c r="K207" s="60" t="s">
        <v>65</v>
      </c>
      <c r="L207" s="60"/>
      <c r="M207" s="60" t="s">
        <v>65</v>
      </c>
      <c r="N207" s="60" t="s">
        <v>65</v>
      </c>
      <c r="O207" s="60"/>
      <c r="P207" s="60"/>
      <c r="Q207" s="60"/>
      <c r="R207" s="60" t="s">
        <v>65</v>
      </c>
      <c r="S207" s="60" t="s">
        <v>65</v>
      </c>
      <c r="T207" s="60" t="s">
        <v>65</v>
      </c>
      <c r="U207" s="60"/>
      <c r="V207" s="60" t="s">
        <v>65</v>
      </c>
      <c r="W207" s="60"/>
      <c r="X207" s="60"/>
      <c r="Y207" s="60"/>
      <c r="Z207" s="60" t="s">
        <v>696</v>
      </c>
      <c r="AA207" s="60"/>
      <c r="AB207" s="60"/>
      <c r="AC207" s="60"/>
      <c r="AD207" s="60"/>
      <c r="AE207" s="60"/>
      <c r="AF207" s="60"/>
      <c r="AG207" s="60"/>
      <c r="AH207" s="60" t="s">
        <v>65</v>
      </c>
      <c r="AI207" s="60"/>
      <c r="AJ207" s="60"/>
      <c r="AK207" s="60"/>
      <c r="AL207" s="60"/>
      <c r="AM207" s="60"/>
      <c r="AN207" s="60"/>
      <c r="AO207" s="60" t="s">
        <v>65</v>
      </c>
      <c r="AP207" s="60" t="s">
        <v>65</v>
      </c>
      <c r="AQ207" s="60"/>
      <c r="AR207" s="60"/>
      <c r="AS207" s="60"/>
      <c r="AT207" s="60"/>
      <c r="AU207" s="60"/>
      <c r="AV207" s="60" t="s">
        <v>65</v>
      </c>
      <c r="AW207" s="60"/>
      <c r="AX207" s="60"/>
      <c r="AY207" s="60"/>
      <c r="AZ207" s="60" t="s">
        <v>696</v>
      </c>
      <c r="BA207" s="60"/>
      <c r="BB207" s="60" t="s">
        <v>65</v>
      </c>
      <c r="BC207" s="60"/>
      <c r="BD207" s="60"/>
      <c r="BE207" s="60"/>
      <c r="BF207" s="60"/>
      <c r="BG207" s="60"/>
      <c r="BH207" s="60"/>
    </row>
    <row r="208">
      <c r="A208" s="60"/>
      <c r="B208" s="60" t="s">
        <v>690</v>
      </c>
      <c r="C208" s="60"/>
      <c r="D208" s="60"/>
      <c r="E208" s="60"/>
      <c r="F208" s="60"/>
      <c r="G208" s="60" t="s">
        <v>690</v>
      </c>
      <c r="H208" s="60"/>
      <c r="I208" s="60"/>
      <c r="J208" s="60" t="s">
        <v>690</v>
      </c>
      <c r="K208" s="60" t="s">
        <v>690</v>
      </c>
      <c r="L208" s="60"/>
      <c r="M208" s="60" t="s">
        <v>690</v>
      </c>
      <c r="N208" s="60" t="s">
        <v>690</v>
      </c>
      <c r="O208" s="60"/>
      <c r="P208" s="60"/>
      <c r="Q208" s="60"/>
      <c r="R208" s="60" t="s">
        <v>690</v>
      </c>
      <c r="S208" s="60" t="s">
        <v>690</v>
      </c>
      <c r="T208" s="60" t="s">
        <v>690</v>
      </c>
      <c r="U208" s="60"/>
      <c r="V208" s="60" t="s">
        <v>690</v>
      </c>
      <c r="W208" s="60"/>
      <c r="X208" s="60"/>
      <c r="Y208" s="60"/>
      <c r="Z208" s="60"/>
      <c r="AA208" s="60"/>
      <c r="AB208" s="60"/>
      <c r="AC208" s="60"/>
      <c r="AD208" s="60"/>
      <c r="AE208" s="60"/>
      <c r="AF208" s="60"/>
      <c r="AG208" s="60"/>
      <c r="AH208" s="60" t="s">
        <v>690</v>
      </c>
      <c r="AI208" s="60"/>
      <c r="AJ208" s="60"/>
      <c r="AK208" s="60"/>
      <c r="AL208" s="60"/>
      <c r="AM208" s="60"/>
      <c r="AN208" s="60"/>
      <c r="AO208" s="60" t="s">
        <v>690</v>
      </c>
      <c r="AP208" s="60" t="s">
        <v>690</v>
      </c>
      <c r="AQ208" s="60"/>
      <c r="AR208" s="60"/>
      <c r="AS208" s="60"/>
      <c r="AT208" s="60"/>
      <c r="AU208" s="60"/>
      <c r="AV208" s="60" t="s">
        <v>690</v>
      </c>
      <c r="AW208" s="60"/>
      <c r="AX208" s="60"/>
      <c r="AY208" s="60"/>
      <c r="AZ208" s="60"/>
      <c r="BA208" s="60"/>
      <c r="BB208" s="60" t="s">
        <v>690</v>
      </c>
      <c r="BC208" s="60"/>
      <c r="BD208" s="60"/>
      <c r="BE208" s="60"/>
      <c r="BF208" s="60"/>
      <c r="BG208" s="60"/>
      <c r="BH208" s="60"/>
    </row>
    <row r="209">
      <c r="A209" s="60"/>
      <c r="B209" s="60" t="s">
        <v>691</v>
      </c>
      <c r="C209" s="60"/>
      <c r="D209" s="60"/>
      <c r="E209" s="60"/>
      <c r="F209" s="60"/>
      <c r="G209" s="60" t="s">
        <v>691</v>
      </c>
      <c r="H209" s="60"/>
      <c r="I209" s="60"/>
      <c r="J209" s="60" t="s">
        <v>691</v>
      </c>
      <c r="K209" s="60" t="s">
        <v>691</v>
      </c>
      <c r="L209" s="60"/>
      <c r="M209" s="60" t="s">
        <v>691</v>
      </c>
      <c r="N209" s="60" t="s">
        <v>691</v>
      </c>
      <c r="O209" s="60"/>
      <c r="P209" s="60"/>
      <c r="Q209" s="60"/>
      <c r="R209" s="60" t="s">
        <v>691</v>
      </c>
      <c r="S209" s="60" t="s">
        <v>691</v>
      </c>
      <c r="T209" s="60" t="s">
        <v>691</v>
      </c>
      <c r="U209" s="60"/>
      <c r="V209" s="60" t="s">
        <v>691</v>
      </c>
      <c r="W209" s="60"/>
      <c r="X209" s="60"/>
      <c r="Y209" s="60"/>
      <c r="Z209" s="60"/>
      <c r="AA209" s="60"/>
      <c r="AB209" s="60"/>
      <c r="AC209" s="60"/>
      <c r="AD209" s="60"/>
      <c r="AE209" s="60"/>
      <c r="AF209" s="60"/>
      <c r="AG209" s="60"/>
      <c r="AH209" s="60" t="s">
        <v>691</v>
      </c>
      <c r="AI209" s="60"/>
      <c r="AJ209" s="60"/>
      <c r="AK209" s="60"/>
      <c r="AL209" s="60"/>
      <c r="AM209" s="60"/>
      <c r="AN209" s="60"/>
      <c r="AO209" s="60" t="s">
        <v>691</v>
      </c>
      <c r="AP209" s="60" t="s">
        <v>691</v>
      </c>
      <c r="AQ209" s="60"/>
      <c r="AR209" s="60"/>
      <c r="AS209" s="60"/>
      <c r="AT209" s="60"/>
      <c r="AU209" s="60"/>
      <c r="AV209" s="60" t="s">
        <v>691</v>
      </c>
      <c r="AW209" s="60"/>
      <c r="AX209" s="60"/>
      <c r="AY209" s="60"/>
      <c r="AZ209" s="60"/>
      <c r="BA209" s="60"/>
      <c r="BB209" s="60" t="s">
        <v>691</v>
      </c>
      <c r="BC209" s="60"/>
      <c r="BD209" s="60"/>
      <c r="BE209" s="60"/>
      <c r="BF209" s="60"/>
      <c r="BG209" s="60"/>
      <c r="BH209" s="60"/>
    </row>
  </sheetData>
  <drawing r:id="rId1"/>
</worksheet>
</file>